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DeTrabalho"/>
  <workbookProtection lockStructure="1" workbookAlgorithmName="SHA-512" workbookHashValue="Urxyk4ZnpCSxDu/KGxkF52Z1JKZsTxz25VGn+UCN23hs3VNYptogIF4+2etHG1ONvd4vimmgIaQek9K+Dr2fSw==" workbookSaltValue="UZ9SFFtwcMfnS5zYpt7OsQ==" workbookSpinCount="100000"/>
  <bookViews>
    <workbookView visibility="visible" minimized="0" showHorizontalScroll="1" showVerticalScroll="1" showSheetTabs="1" xWindow="-120" yWindow="-120" windowWidth="38640" windowHeight="16440" tabRatio="727" firstSheet="0" activeTab="2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epescagem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Mata-Mata" sheetId="4" state="visible" r:id="rId4"/>
  </sheets>
  <definedNames>
    <definedName name="_xlnm.Print_Area" localSheetId="2">'Grupos'!$B$1:$AB$52</definedName>
    <definedName name="_xlnm.Print_Area" localSheetId="3">'Mata-Mata'!$A$1:$AL$37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0">
    <font>
      <name val="Arial"/>
      <family val="2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0"/>
      <sz val="12"/>
    </font>
    <font>
      <name val="Calibri"/>
      <family val="2"/>
      <b val="1"/>
      <color theme="0"/>
      <sz val="11"/>
    </font>
    <font>
      <name val="Calibri"/>
      <family val="2"/>
      <b val="1"/>
      <color rgb="FF184F8E"/>
      <sz val="11"/>
    </font>
    <font>
      <name val="Calibri"/>
      <family val="2"/>
      <color theme="0"/>
      <sz val="11"/>
    </font>
    <font>
      <name val="Calibri"/>
      <family val="2"/>
      <color rgb="FF184F8E"/>
      <sz val="11"/>
    </font>
    <font>
      <name val="Calibri"/>
      <family val="2"/>
      <b val="1"/>
      <color rgb="FF184F8E"/>
      <sz val="36"/>
    </font>
    <font>
      <name val="Calibri"/>
      <family val="2"/>
      <b val="1"/>
      <color rgb="FFE75B30"/>
      <sz val="36"/>
    </font>
    <font>
      <name val="Calibri"/>
      <family val="2"/>
      <color theme="1"/>
      <sz val="12"/>
    </font>
    <font>
      <name val="Calibri"/>
      <family val="2"/>
      <color rgb="FF184F8E"/>
      <sz val="12"/>
    </font>
    <font>
      <name val="Calibri"/>
      <family val="2"/>
      <b val="1"/>
      <color theme="0"/>
      <sz val="36"/>
    </font>
    <font>
      <name val="Calibri"/>
      <family val="2"/>
      <b val="1"/>
      <color theme="0"/>
      <sz val="9"/>
    </font>
    <font>
      <name val="Calibri"/>
      <family val="2"/>
      <b val="1"/>
      <color rgb="FF184F8E"/>
      <sz val="26"/>
    </font>
    <font>
      <name val="Calibri"/>
      <family val="2"/>
      <b val="1"/>
      <color rgb="FFE75B30"/>
      <sz val="26"/>
    </font>
    <font>
      <name val="Arial"/>
      <family val="2"/>
      <b val="1"/>
      <color rgb="FFE75B30"/>
      <sz val="16"/>
    </font>
    <font>
      <name val="Arial"/>
      <family val="2"/>
      <color rgb="FF184F8E"/>
      <sz val="11"/>
    </font>
    <font>
      <name val="Arial"/>
      <family val="2"/>
      <b val="1"/>
      <color rgb="FF184F8E"/>
      <sz val="11"/>
    </font>
    <font>
      <name val="Calibri"/>
      <family val="2"/>
      <b val="1"/>
      <color rgb="FF184F8E"/>
      <sz val="12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144376"/>
        <bgColor indexed="64"/>
      </patternFill>
    </fill>
  </fills>
  <borders count="71">
    <border>
      <left/>
      <right/>
      <top/>
      <bottom/>
      <diagonal/>
    </border>
    <border>
      <left style="medium">
        <color rgb="FF184F8E"/>
      </left>
      <right/>
      <top style="medium">
        <color rgb="FF184F8E"/>
      </top>
      <bottom style="medium">
        <color rgb="FF184F8E"/>
      </bottom>
      <diagonal/>
    </border>
    <border>
      <left/>
      <right/>
      <top style="medium">
        <color rgb="FF184F8E"/>
      </top>
      <bottom style="medium">
        <color rgb="FF184F8E"/>
      </bottom>
      <diagonal/>
    </border>
    <border>
      <left/>
      <right style="medium">
        <color rgb="FF184F8E"/>
      </right>
      <top style="medium">
        <color rgb="FF184F8E"/>
      </top>
      <bottom style="medium">
        <color rgb="FF184F8E"/>
      </bottom>
      <diagonal/>
    </border>
    <border>
      <left style="medium">
        <color rgb="FF184F8E"/>
      </left>
      <right/>
      <top/>
      <bottom/>
      <diagonal/>
    </border>
    <border>
      <left/>
      <right style="medium">
        <color rgb="FF184F8E"/>
      </right>
      <top/>
      <bottom/>
      <diagonal/>
    </border>
    <border>
      <left style="medium">
        <color rgb="FF184F8E"/>
      </left>
      <right style="thin">
        <color rgb="FF184F8E"/>
      </right>
      <top/>
      <bottom style="thin">
        <color theme="0"/>
      </bottom>
      <diagonal/>
    </border>
    <border>
      <left/>
      <right style="thin">
        <color rgb="FF184F8E"/>
      </right>
      <top/>
      <bottom style="thin">
        <color rgb="FF184F8E"/>
      </bottom>
      <diagonal/>
    </border>
    <border>
      <left style="thin">
        <color rgb="FF184F8E"/>
      </left>
      <right style="medium">
        <color rgb="FF184F8E"/>
      </right>
      <top/>
      <bottom style="thin">
        <color rgb="FF184F8E"/>
      </bottom>
      <diagonal/>
    </border>
    <border>
      <left style="medium">
        <color rgb="FF184F8E"/>
      </left>
      <right style="thin">
        <color rgb="FF184F8E"/>
      </right>
      <top style="thin">
        <color theme="0"/>
      </top>
      <bottom style="thin">
        <color theme="0"/>
      </bottom>
      <diagonal/>
    </border>
    <border>
      <left/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n">
        <color rgb="FF184F8E"/>
      </left>
      <right style="medium">
        <color rgb="FF184F8E"/>
      </right>
      <top style="thin">
        <color rgb="FF184F8E"/>
      </top>
      <bottom style="thin">
        <color rgb="FF184F8E"/>
      </bottom>
      <diagonal/>
    </border>
    <border>
      <left style="medium">
        <color rgb="FF184F8E"/>
      </left>
      <right style="thin">
        <color rgb="FF184F8E"/>
      </right>
      <top/>
      <bottom style="medium">
        <color rgb="FF184F8E"/>
      </bottom>
      <diagonal/>
    </border>
    <border>
      <left/>
      <right style="thin">
        <color rgb="FF184F8E"/>
      </right>
      <top style="thin">
        <color rgb="FF184F8E"/>
      </top>
      <bottom style="medium">
        <color rgb="FF184F8E"/>
      </bottom>
      <diagonal/>
    </border>
    <border>
      <left style="thin">
        <color rgb="FF184F8E"/>
      </left>
      <right style="medium">
        <color rgb="FF184F8E"/>
      </right>
      <top style="thin">
        <color rgb="FF184F8E"/>
      </top>
      <bottom style="medium">
        <color rgb="FF184F8E"/>
      </bottom>
      <diagonal/>
    </border>
    <border>
      <left/>
      <right/>
      <top style="thick">
        <color theme="0"/>
      </top>
      <bottom/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8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ck">
        <color theme="0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rgb="FF184F8E"/>
      </left>
      <right style="medium">
        <color rgb="FF184F8E"/>
      </right>
      <top style="medium">
        <color rgb="FF184F8E"/>
      </top>
      <bottom style="medium">
        <color rgb="FF184F8E"/>
      </bottom>
      <diagonal/>
    </border>
    <border>
      <left/>
      <right/>
      <top style="medium">
        <color rgb="FF184F8E"/>
      </top>
      <bottom/>
      <diagonal/>
    </border>
    <border>
      <left/>
      <right style="medium">
        <color rgb="FF184F8E"/>
      </right>
      <top style="medium">
        <color rgb="FF184F8E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 style="medium">
        <color theme="0"/>
      </top>
      <bottom/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14" fontId="5" fillId="2" borderId="20" applyAlignment="1" applyProtection="1" pivotButton="0" quotePrefix="0" xfId="0">
      <alignment horizontal="center" vertical="center"/>
      <protection locked="0" hidden="0"/>
    </xf>
    <xf numFmtId="14" fontId="5" fillId="2" borderId="21" applyAlignment="1" applyProtection="1" pivotButton="0" quotePrefix="0" xfId="0">
      <alignment horizontal="center" vertical="center"/>
      <protection locked="0" hidden="0"/>
    </xf>
    <xf numFmtId="0" fontId="9" fillId="0" borderId="16" applyAlignment="1" applyProtection="1" pivotButton="0" quotePrefix="0" xfId="0">
      <alignment horizontal="center" vertical="center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0" fontId="9" fillId="0" borderId="44" applyAlignment="1" applyProtection="1" pivotButton="0" quotePrefix="0" xfId="0">
      <alignment horizontal="center" vertical="center"/>
      <protection locked="0" hidden="0"/>
    </xf>
    <xf numFmtId="0" fontId="4" fillId="4" borderId="50" applyAlignment="1" applyProtection="1" pivotButton="0" quotePrefix="0" xfId="0">
      <alignment horizontal="center" vertical="center"/>
      <protection locked="0" hidden="1"/>
    </xf>
    <xf numFmtId="0" fontId="4" fillId="4" borderId="51" applyAlignment="1" applyProtection="1" pivotButton="0" quotePrefix="0" xfId="0">
      <alignment horizontal="center" vertical="center"/>
      <protection locked="0" hidden="1"/>
    </xf>
    <xf numFmtId="0" fontId="0" fillId="3" borderId="0" pivotButton="0" quotePrefix="0" xfId="0"/>
    <xf numFmtId="0" fontId="0" fillId="2" borderId="0" pivotButton="0" quotePrefix="0" xfId="0"/>
    <xf numFmtId="0" fontId="9" fillId="4" borderId="52" applyAlignment="1" applyProtection="1" pivotButton="0" quotePrefix="0" xfId="0">
      <alignment horizontal="center" vertical="center"/>
      <protection locked="0" hidden="0"/>
    </xf>
    <xf numFmtId="0" fontId="9" fillId="4" borderId="53" applyAlignment="1" applyProtection="1" pivotButton="0" quotePrefix="0" xfId="0">
      <alignment horizontal="center" vertical="center"/>
      <protection locked="0" hidden="0"/>
    </xf>
    <xf numFmtId="0" fontId="9" fillId="4" borderId="54" applyAlignment="1" applyProtection="1" pivotButton="0" quotePrefix="0" xfId="0">
      <alignment horizontal="center" vertical="center"/>
      <protection locked="0" hidden="0"/>
    </xf>
    <xf numFmtId="0" fontId="1" fillId="0" borderId="8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center" vertical="center"/>
      <protection locked="0" hidden="0"/>
    </xf>
    <xf numFmtId="0" fontId="1" fillId="0" borderId="14" applyAlignment="1" applyProtection="1" pivotButton="0" quotePrefix="0" xfId="0">
      <alignment horizontal="center" vertical="center"/>
      <protection locked="0" hidden="0"/>
    </xf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 vertical="center"/>
    </xf>
    <xf numFmtId="0" fontId="9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9" fillId="4" borderId="55" applyAlignment="1" pivotButton="0" quotePrefix="0" xfId="0">
      <alignment horizontal="right" vertical="center"/>
    </xf>
    <xf numFmtId="0" fontId="9" fillId="0" borderId="15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center"/>
    </xf>
    <xf numFmtId="0" fontId="10" fillId="4" borderId="15" applyAlignment="1" pivotButton="0" quotePrefix="0" xfId="0">
      <alignment horizontal="center" vertical="center"/>
    </xf>
    <xf numFmtId="0" fontId="9" fillId="4" borderId="58" applyAlignment="1" pivotButton="0" quotePrefix="0" xfId="0">
      <alignment vertical="center"/>
    </xf>
    <xf numFmtId="0" fontId="9" fillId="4" borderId="56" applyAlignment="1" pivotButton="0" quotePrefix="0" xfId="0">
      <alignment horizontal="right" vertical="center"/>
    </xf>
    <xf numFmtId="0" fontId="9" fillId="0" borderId="45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9" fillId="4" borderId="59" applyAlignment="1" pivotButton="0" quotePrefix="0" xfId="0">
      <alignment vertical="center"/>
    </xf>
    <xf numFmtId="0" fontId="9" fillId="4" borderId="57" applyAlignment="1" pivotButton="0" quotePrefix="0" xfId="0">
      <alignment horizontal="right" vertical="center"/>
    </xf>
    <xf numFmtId="0" fontId="9" fillId="0" borderId="43" applyAlignment="1" pivotButton="0" quotePrefix="0" xfId="0">
      <alignment horizontal="center" vertical="center"/>
    </xf>
    <xf numFmtId="0" fontId="9" fillId="0" borderId="47" applyAlignment="1" pivotButton="0" quotePrefix="0" xfId="0">
      <alignment horizontal="center" vertical="center"/>
    </xf>
    <xf numFmtId="0" fontId="10" fillId="4" borderId="43" applyAlignment="1" pivotButton="0" quotePrefix="0" xfId="0">
      <alignment horizontal="center" vertical="center"/>
    </xf>
    <xf numFmtId="0" fontId="9" fillId="4" borderId="60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3" borderId="2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2" borderId="0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3" applyAlignment="1" applyProtection="1" pivotButton="0" quotePrefix="0" xfId="0">
      <alignment horizontal="right" vertical="center"/>
      <protection locked="1" hidden="1"/>
    </xf>
    <xf numFmtId="0" fontId="1" fillId="2" borderId="24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5" fillId="2" borderId="25" applyAlignment="1" applyProtection="1" pivotButton="0" quotePrefix="0" xfId="0">
      <alignment horizontal="center" vertical="center"/>
      <protection locked="1" hidden="1"/>
    </xf>
    <xf numFmtId="0" fontId="5" fillId="2" borderId="26" applyAlignment="1" applyProtection="1" pivotButton="0" quotePrefix="0" xfId="0">
      <alignment horizontal="right" vertical="center"/>
      <protection locked="1" hidden="1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3" fillId="3" borderId="21" applyAlignment="1" pivotButton="0" quotePrefix="0" xfId="0">
      <alignment horizontal="center" vertical="center"/>
    </xf>
    <xf numFmtId="0" fontId="5" fillId="2" borderId="29" applyAlignment="1" applyProtection="1" pivotButton="0" quotePrefix="0" xfId="0">
      <alignment horizontal="center" vertical="center"/>
      <protection locked="1" hidden="1"/>
    </xf>
    <xf numFmtId="0" fontId="4" fillId="2" borderId="22" applyAlignment="1" applyProtection="1" pivotButton="0" quotePrefix="0" xfId="0">
      <alignment horizontal="center" vertical="center"/>
      <protection locked="1" hidden="1"/>
    </xf>
    <xf numFmtId="0" fontId="5" fillId="2" borderId="28" applyAlignment="1" applyProtection="1" pivotButton="0" quotePrefix="0" xfId="0">
      <alignment horizontal="right" vertical="center"/>
      <protection locked="1" hidden="1"/>
    </xf>
    <xf numFmtId="0" fontId="6" fillId="2" borderId="30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5" fillId="2" borderId="32" applyAlignment="1" applyProtection="1" pivotButton="0" quotePrefix="0" xfId="0">
      <alignment horizontal="center" vertical="center"/>
      <protection locked="1" hidden="1"/>
    </xf>
    <xf numFmtId="0" fontId="1" fillId="2" borderId="26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5" fillId="2" borderId="25" applyAlignment="1" pivotButton="0" quotePrefix="0" xfId="0">
      <alignment horizontal="center" vertical="center"/>
    </xf>
    <xf numFmtId="0" fontId="4" fillId="2" borderId="37" applyAlignment="1" applyProtection="1" pivotButton="0" quotePrefix="0" xfId="0">
      <alignment horizontal="center" vertical="center"/>
      <protection locked="1" hidden="1"/>
    </xf>
    <xf numFmtId="0" fontId="12" fillId="3" borderId="20" applyAlignment="1" pivotButton="0" quotePrefix="0" xfId="0">
      <alignment horizontal="center" vertical="center"/>
    </xf>
    <xf numFmtId="0" fontId="1" fillId="2" borderId="38" applyAlignment="1" pivotButton="0" quotePrefix="0" xfId="0">
      <alignment horizontal="center" vertical="center"/>
    </xf>
    <xf numFmtId="0" fontId="1" fillId="2" borderId="33" applyAlignment="1" pivotButton="0" quotePrefix="0" xfId="0">
      <alignment horizontal="center" vertical="center"/>
    </xf>
    <xf numFmtId="0" fontId="1" fillId="2" borderId="38" applyAlignment="1" pivotButton="0" quotePrefix="0" xfId="0">
      <alignment vertical="center"/>
    </xf>
    <xf numFmtId="0" fontId="1" fillId="2" borderId="28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1" fillId="2" borderId="25" applyAlignment="1" pivotButton="0" quotePrefix="0" xfId="0">
      <alignment vertical="center"/>
    </xf>
    <xf numFmtId="0" fontId="12" fillId="3" borderId="21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/>
    </xf>
    <xf numFmtId="0" fontId="3" fillId="2" borderId="39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48" applyAlignment="1" applyProtection="1" pivotButton="0" quotePrefix="0" xfId="0">
      <alignment horizontal="center" vertical="center"/>
      <protection locked="0" hidden="1"/>
    </xf>
    <xf numFmtId="0" fontId="4" fillId="0" borderId="49" applyAlignment="1" applyProtection="1" pivotButton="0" quotePrefix="0" xfId="0">
      <alignment horizontal="center" vertical="center"/>
      <protection locked="0" hidden="1"/>
    </xf>
    <xf numFmtId="0" fontId="13" fillId="4" borderId="0" applyAlignment="1" pivotButton="0" quotePrefix="0" xfId="0">
      <alignment horizontal="center" vertical="center"/>
    </xf>
    <xf numFmtId="0" fontId="2" fillId="2" borderId="40" applyAlignment="1" pivotButton="0" quotePrefix="0" xfId="0">
      <alignment horizontal="center" vertical="center"/>
    </xf>
    <xf numFmtId="0" fontId="2" fillId="2" borderId="41" applyAlignment="1" pivotButton="0" quotePrefix="0" xfId="0">
      <alignment horizontal="center" vertical="center"/>
    </xf>
    <xf numFmtId="0" fontId="2" fillId="2" borderId="4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/>
    </xf>
    <xf numFmtId="0" fontId="16" fillId="4" borderId="0" applyAlignment="1" pivotButton="0" quotePrefix="0" xfId="0">
      <alignment horizontal="left" wrapText="1"/>
    </xf>
    <xf numFmtId="0" fontId="15" fillId="4" borderId="0" applyAlignment="1" pivotButton="0" quotePrefix="0" xfId="0">
      <alignment horizontal="center"/>
    </xf>
    <xf numFmtId="0" fontId="16" fillId="4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2" fillId="5" borderId="18" applyAlignment="1" pivotButton="0" quotePrefix="0" xfId="0">
      <alignment horizontal="center" vertical="center"/>
    </xf>
    <xf numFmtId="0" fontId="2" fillId="5" borderId="19" applyAlignment="1" pivotButton="0" quotePrefix="0" xfId="0">
      <alignment horizontal="center" vertical="center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2" fillId="5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18" fillId="0" borderId="34" applyAlignment="1" applyProtection="1" pivotButton="0" quotePrefix="0" xfId="0">
      <alignment horizontal="center" vertical="center"/>
      <protection locked="0" hidden="0"/>
    </xf>
    <xf numFmtId="0" fontId="18" fillId="0" borderId="35" applyAlignment="1" applyProtection="1" pivotButton="0" quotePrefix="0" xfId="0">
      <alignment horizontal="center" vertical="center"/>
      <protection locked="0" hidden="0"/>
    </xf>
    <xf numFmtId="0" fontId="18" fillId="0" borderId="36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9" fillId="2" borderId="0" pivotButton="0" quotePrefix="0" xfId="0"/>
    <xf numFmtId="0" fontId="2" fillId="2" borderId="6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6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67" pivotButton="0" quotePrefix="0" xfId="0"/>
    <xf numFmtId="164" fontId="5" fillId="2" borderId="20" applyAlignment="1" applyProtection="1" pivotButton="0" quotePrefix="0" xfId="0">
      <alignment horizontal="center" vertical="center"/>
      <protection locked="0" hidden="0"/>
    </xf>
    <xf numFmtId="164" fontId="5" fillId="2" borderId="21" applyAlignment="1" applyProtection="1" pivotButton="0" quotePrefix="0" xfId="0">
      <alignment horizontal="center" vertical="center"/>
      <protection locked="0" hidden="0"/>
    </xf>
    <xf numFmtId="0" fontId="2" fillId="5" borderId="2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8" fillId="0" borderId="21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Relationship Type="http://schemas.openxmlformats.org/officeDocument/2006/relationships/image" Target="/xl/media/image12.png" Id="rId11"/><Relationship Type="http://schemas.openxmlformats.org/officeDocument/2006/relationships/image" Target="/xl/media/image13.png" Id="rId12"/><Relationship Type="http://schemas.openxmlformats.org/officeDocument/2006/relationships/image" Target="/xl/media/image14.png" Id="rId13"/><Relationship Type="http://schemas.openxmlformats.org/officeDocument/2006/relationships/image" Target="/xl/media/image15.png" Id="rId14"/><Relationship Type="http://schemas.openxmlformats.org/officeDocument/2006/relationships/image" Target="/xl/media/image16.png" Id="rId15"/><Relationship Type="http://schemas.openxmlformats.org/officeDocument/2006/relationships/image" Target="/xl/media/image17.png" Id="rId16"/><Relationship Type="http://schemas.openxmlformats.org/officeDocument/2006/relationships/image" Target="/xl/media/image18.png" Id="rId17"/><Relationship Type="http://schemas.openxmlformats.org/officeDocument/2006/relationships/image" Target="/xl/media/image19.png" Id="rId18"/><Relationship Type="http://schemas.openxmlformats.org/officeDocument/2006/relationships/image" Target="/xl/media/image20.png" Id="rId19"/><Relationship Type="http://schemas.openxmlformats.org/officeDocument/2006/relationships/image" Target="/xl/media/image21.png" Id="rId20"/><Relationship Type="http://schemas.openxmlformats.org/officeDocument/2006/relationships/image" Target="/xl/media/image22.png" Id="rId21"/><Relationship Type="http://schemas.openxmlformats.org/officeDocument/2006/relationships/image" Target="/xl/media/image23.png" Id="rId22"/><Relationship Type="http://schemas.openxmlformats.org/officeDocument/2006/relationships/image" Target="/xl/media/image24.png" Id="rId23"/><Relationship Type="http://schemas.openxmlformats.org/officeDocument/2006/relationships/image" Target="/xl/media/image25.png" Id="rId24"/><Relationship Type="http://schemas.openxmlformats.org/officeDocument/2006/relationships/image" Target="/xl/media/image26.png" Id="rId25"/><Relationship Type="http://schemas.openxmlformats.org/officeDocument/2006/relationships/image" Target="/xl/media/image27.png" Id="rId26"/><Relationship Type="http://schemas.openxmlformats.org/officeDocument/2006/relationships/image" Target="/xl/media/image28.png" Id="rId27"/><Relationship Type="http://schemas.openxmlformats.org/officeDocument/2006/relationships/image" Target="/xl/media/image29.png" Id="rId28"/><Relationship Type="http://schemas.openxmlformats.org/officeDocument/2006/relationships/image" Target="/xl/media/image30.png" Id="rId29"/><Relationship Type="http://schemas.openxmlformats.org/officeDocument/2006/relationships/image" Target="/xl/media/image31.png" Id="rId30"/><Relationship Type="http://schemas.openxmlformats.org/officeDocument/2006/relationships/image" Target="/xl/media/image32.png" Id="rId31"/><Relationship Type="http://schemas.openxmlformats.org/officeDocument/2006/relationships/image" Target="/xl/media/image33.png" Id="rId32"/><Relationship Type="http://schemas.openxmlformats.org/officeDocument/2006/relationships/image" Target="/xl/media/image34.png" Id="rId33"/><Relationship Type="http://schemas.openxmlformats.org/officeDocument/2006/relationships/image" Target="/xl/media/image35.png" Id="rId34"/><Relationship Type="http://schemas.openxmlformats.org/officeDocument/2006/relationships/image" Target="/xl/media/image36.png" Id="rId35"/><Relationship Type="http://schemas.openxmlformats.org/officeDocument/2006/relationships/image" Target="/xl/media/image37.png" Id="rId36"/><Relationship Type="http://schemas.openxmlformats.org/officeDocument/2006/relationships/image" Target="/xl/media/image38.png" Id="rId37"/><Relationship Type="http://schemas.openxmlformats.org/officeDocument/2006/relationships/image" Target="/xl/media/image39.png" Id="rId38"/><Relationship Type="http://schemas.openxmlformats.org/officeDocument/2006/relationships/image" Target="/xl/media/image40.png" Id="rId39"/><Relationship Type="http://schemas.openxmlformats.org/officeDocument/2006/relationships/image" Target="/xl/media/image41.png" Id="rId40"/><Relationship Type="http://schemas.openxmlformats.org/officeDocument/2006/relationships/image" Target="/xl/media/image42.png" Id="rId41"/><Relationship Type="http://schemas.openxmlformats.org/officeDocument/2006/relationships/image" Target="/xl/media/image43.png" Id="rId42"/><Relationship Type="http://schemas.openxmlformats.org/officeDocument/2006/relationships/image" Target="/xl/media/image44.png" Id="rId43"/><Relationship Type="http://schemas.openxmlformats.org/officeDocument/2006/relationships/image" Target="/xl/media/image45.png" Id="rId44"/><Relationship Type="http://schemas.openxmlformats.org/officeDocument/2006/relationships/image" Target="/xl/media/image46.png" Id="rId45"/><Relationship Type="http://schemas.openxmlformats.org/officeDocument/2006/relationships/image" Target="/xl/media/image47.png" Id="rId46"/><Relationship Type="http://schemas.openxmlformats.org/officeDocument/2006/relationships/image" Target="/xl/media/image48.png" Id="rId47"/><Relationship Type="http://schemas.openxmlformats.org/officeDocument/2006/relationships/image" Target="/xl/media/image49.png" Id="rId48"/><Relationship Type="http://schemas.openxmlformats.org/officeDocument/2006/relationships/image" Target="/xl/media/image50.png" Id="rId49"/><Relationship Type="http://schemas.openxmlformats.org/officeDocument/2006/relationships/image" Target="/xl/media/image51.png" Id="rId50"/><Relationship Type="http://schemas.openxmlformats.org/officeDocument/2006/relationships/image" Target="/xl/media/image52.png" Id="rId51"/><Relationship Type="http://schemas.openxmlformats.org/officeDocument/2006/relationships/image" Target="/xl/media/image53.png" Id="rId52"/><Relationship Type="http://schemas.openxmlformats.org/officeDocument/2006/relationships/image" Target="/xl/media/image54.png" Id="rId53"/><Relationship Type="http://schemas.openxmlformats.org/officeDocument/2006/relationships/image" Target="/xl/media/image55.png" Id="rId54"/><Relationship Type="http://schemas.openxmlformats.org/officeDocument/2006/relationships/image" Target="/xl/media/image56.png" Id="rId55"/><Relationship Type="http://schemas.openxmlformats.org/officeDocument/2006/relationships/image" Target="/xl/media/image57.png" Id="rId56"/><Relationship Type="http://schemas.openxmlformats.org/officeDocument/2006/relationships/image" Target="/xl/media/image58.png" Id="rId57"/><Relationship Type="http://schemas.openxmlformats.org/officeDocument/2006/relationships/image" Target="/xl/media/image59.png" Id="rId58"/><Relationship Type="http://schemas.openxmlformats.org/officeDocument/2006/relationships/image" Target="/xl/media/image60.png" Id="rId59"/><Relationship Type="http://schemas.openxmlformats.org/officeDocument/2006/relationships/image" Target="/xl/media/image61.png" Id="rId60"/><Relationship Type="http://schemas.openxmlformats.org/officeDocument/2006/relationships/image" Target="/xl/media/image62.png" Id="rId61"/><Relationship Type="http://schemas.openxmlformats.org/officeDocument/2006/relationships/image" Target="/xl/media/image63.png" Id="rId62"/><Relationship Type="http://schemas.openxmlformats.org/officeDocument/2006/relationships/image" Target="/xl/media/image64.png" Id="rId63"/><Relationship Type="http://schemas.openxmlformats.org/officeDocument/2006/relationships/image" Target="/xl/media/image65.png" Id="rId64"/><Relationship Type="http://schemas.openxmlformats.org/officeDocument/2006/relationships/image" Target="/xl/media/image66.png" Id="rId65"/><Relationship Type="http://schemas.openxmlformats.org/officeDocument/2006/relationships/image" Target="/xl/media/image67.png" Id="rId66"/><Relationship Type="http://schemas.openxmlformats.org/officeDocument/2006/relationships/image" Target="/xl/media/image68.png" Id="rId67"/><Relationship Type="http://schemas.openxmlformats.org/officeDocument/2006/relationships/image" Target="/xl/media/image69.png" Id="rId68"/><Relationship Type="http://schemas.openxmlformats.org/officeDocument/2006/relationships/image" Target="/xl/media/image70.png" Id="rId69"/><Relationship Type="http://schemas.openxmlformats.org/officeDocument/2006/relationships/image" Target="/xl/media/image71.png" Id="rId70"/><Relationship Type="http://schemas.openxmlformats.org/officeDocument/2006/relationships/image" Target="/xl/media/image72.png" Id="rId71"/><Relationship Type="http://schemas.openxmlformats.org/officeDocument/2006/relationships/image" Target="/xl/media/image73.png" Id="rId72"/><Relationship Type="http://schemas.openxmlformats.org/officeDocument/2006/relationships/image" Target="/xl/media/image74.png" Id="rId73"/><Relationship Type="http://schemas.openxmlformats.org/officeDocument/2006/relationships/image" Target="/xl/media/image75.png" Id="rId74"/><Relationship Type="http://schemas.openxmlformats.org/officeDocument/2006/relationships/image" Target="/xl/media/image76.png" Id="rId75"/><Relationship Type="http://schemas.openxmlformats.org/officeDocument/2006/relationships/image" Target="/xl/media/image77.png" Id="rId76"/><Relationship Type="http://schemas.openxmlformats.org/officeDocument/2006/relationships/image" Target="/xl/media/image78.png" Id="rId77"/><Relationship Type="http://schemas.openxmlformats.org/officeDocument/2006/relationships/image" Target="/xl/media/image79.png" Id="rId78"/><Relationship Type="http://schemas.openxmlformats.org/officeDocument/2006/relationships/image" Target="/xl/media/image80.png" Id="rId79"/><Relationship Type="http://schemas.openxmlformats.org/officeDocument/2006/relationships/image" Target="/xl/media/image81.png" Id="rId80"/><Relationship Type="http://schemas.openxmlformats.org/officeDocument/2006/relationships/image" Target="/xl/media/image82.png" Id="rId81"/><Relationship Type="http://schemas.openxmlformats.org/officeDocument/2006/relationships/image" Target="/xl/media/image83.png" Id="rId82"/><Relationship Type="http://schemas.openxmlformats.org/officeDocument/2006/relationships/image" Target="/xl/media/image84.png" Id="rId83"/><Relationship Type="http://schemas.openxmlformats.org/officeDocument/2006/relationships/image" Target="/xl/media/image85.png" Id="rId84"/><Relationship Type="http://schemas.openxmlformats.org/officeDocument/2006/relationships/image" Target="/xl/media/image86.png" Id="rId85"/><Relationship Type="http://schemas.openxmlformats.org/officeDocument/2006/relationships/image" Target="/xl/media/image87.png" Id="rId86"/><Relationship Type="http://schemas.openxmlformats.org/officeDocument/2006/relationships/image" Target="/xl/media/image88.png" Id="rId87"/><Relationship Type="http://schemas.openxmlformats.org/officeDocument/2006/relationships/image" Target="/xl/media/image89.png" Id="rId88"/><Relationship Type="http://schemas.openxmlformats.org/officeDocument/2006/relationships/image" Target="/xl/media/image90.png" Id="rId89"/><Relationship Type="http://schemas.openxmlformats.org/officeDocument/2006/relationships/image" Target="/xl/media/image91.png" Id="rId90"/><Relationship Type="http://schemas.openxmlformats.org/officeDocument/2006/relationships/image" Target="/xl/media/image92.png" Id="rId91"/><Relationship Type="http://schemas.openxmlformats.org/officeDocument/2006/relationships/image" Target="/xl/media/image93.png" Id="rId92"/><Relationship Type="http://schemas.openxmlformats.org/officeDocument/2006/relationships/image" Target="/xl/media/image94.png" Id="rId93"/><Relationship Type="http://schemas.openxmlformats.org/officeDocument/2006/relationships/image" Target="/xl/media/image95.png" Id="rId94"/><Relationship Type="http://schemas.openxmlformats.org/officeDocument/2006/relationships/image" Target="/xl/media/image96.png" Id="rId95"/><Relationship Type="http://schemas.openxmlformats.org/officeDocument/2006/relationships/image" Target="/xl/media/image97.png" Id="rId96"/><Relationship Type="http://schemas.openxmlformats.org/officeDocument/2006/relationships/image" Target="/xl/media/image98.png" Id="rId97"/><Relationship Type="http://schemas.openxmlformats.org/officeDocument/2006/relationships/image" Target="/xl/media/image99.png" Id="rId98"/><Relationship Type="http://schemas.openxmlformats.org/officeDocument/2006/relationships/image" Target="/xl/media/image100.png" Id="rId99"/><Relationship Type="http://schemas.openxmlformats.org/officeDocument/2006/relationships/image" Target="/xl/media/image101.png" Id="rId100"/><Relationship Type="http://schemas.openxmlformats.org/officeDocument/2006/relationships/image" Target="/xl/media/image102.png" Id="rId101"/><Relationship Type="http://schemas.openxmlformats.org/officeDocument/2006/relationships/image" Target="/xl/media/image103.png" Id="rId102"/><Relationship Type="http://schemas.openxmlformats.org/officeDocument/2006/relationships/image" Target="/xl/media/image104.png" Id="rId103"/><Relationship Type="http://schemas.openxmlformats.org/officeDocument/2006/relationships/image" Target="/xl/media/image105.png" Id="rId104"/><Relationship Type="http://schemas.openxmlformats.org/officeDocument/2006/relationships/image" Target="/xl/media/image106.png" Id="rId105"/><Relationship Type="http://schemas.openxmlformats.org/officeDocument/2006/relationships/image" Target="/xl/media/image107.png" Id="rId106"/><Relationship Type="http://schemas.openxmlformats.org/officeDocument/2006/relationships/image" Target="/xl/media/image108.png" Id="rId107"/><Relationship Type="http://schemas.openxmlformats.org/officeDocument/2006/relationships/image" Target="/xl/media/image109.png" Id="rId108"/><Relationship Type="http://schemas.openxmlformats.org/officeDocument/2006/relationships/image" Target="/xl/media/image110.png" Id="rId109"/><Relationship Type="http://schemas.openxmlformats.org/officeDocument/2006/relationships/image" Target="/xl/media/image111.png" Id="rId110"/><Relationship Type="http://schemas.openxmlformats.org/officeDocument/2006/relationships/image" Target="/xl/media/image112.png" Id="rId111"/><Relationship Type="http://schemas.openxmlformats.org/officeDocument/2006/relationships/image" Target="/xl/media/image113.png" Id="rId112"/><Relationship Type="http://schemas.openxmlformats.org/officeDocument/2006/relationships/image" Target="/xl/media/image114.png" Id="rId113"/><Relationship Type="http://schemas.openxmlformats.org/officeDocument/2006/relationships/image" Target="/xl/media/image115.png" Id="rId114"/><Relationship Type="http://schemas.openxmlformats.org/officeDocument/2006/relationships/image" Target="/xl/media/image116.png" Id="rId115"/><Relationship Type="http://schemas.openxmlformats.org/officeDocument/2006/relationships/image" Target="/xl/media/image117.png" Id="rId116"/><Relationship Type="http://schemas.openxmlformats.org/officeDocument/2006/relationships/image" Target="/xl/media/image118.png" Id="rId117"/><Relationship Type="http://schemas.openxmlformats.org/officeDocument/2006/relationships/image" Target="/xl/media/image119.png" Id="rId118"/><Relationship Type="http://schemas.openxmlformats.org/officeDocument/2006/relationships/image" Target="/xl/media/image120.png" Id="rId119"/><Relationship Type="http://schemas.openxmlformats.org/officeDocument/2006/relationships/image" Target="/xl/media/image121.png" Id="rId120"/><Relationship Type="http://schemas.openxmlformats.org/officeDocument/2006/relationships/image" Target="/xl/media/image122.png" Id="rId121"/><Relationship Type="http://schemas.openxmlformats.org/officeDocument/2006/relationships/image" Target="/xl/media/image123.png" Id="rId122"/><Relationship Type="http://schemas.openxmlformats.org/officeDocument/2006/relationships/image" Target="/xl/media/image124.png" Id="rId123"/><Relationship Type="http://schemas.openxmlformats.org/officeDocument/2006/relationships/image" Target="/xl/media/image125.png" Id="rId124"/><Relationship Type="http://schemas.openxmlformats.org/officeDocument/2006/relationships/image" Target="/xl/media/image126.png" Id="rId125"/><Relationship Type="http://schemas.openxmlformats.org/officeDocument/2006/relationships/image" Target="/xl/media/image127.png" Id="rId126"/><Relationship Type="http://schemas.openxmlformats.org/officeDocument/2006/relationships/image" Target="/xl/media/image128.png" Id="rId127"/><Relationship Type="http://schemas.openxmlformats.org/officeDocument/2006/relationships/image" Target="/xl/media/image129.png" Id="rId128"/><Relationship Type="http://schemas.openxmlformats.org/officeDocument/2006/relationships/image" Target="/xl/media/image130.png" Id="rId129"/><Relationship Type="http://schemas.openxmlformats.org/officeDocument/2006/relationships/image" Target="/xl/media/image131.png" Id="rId130"/><Relationship Type="http://schemas.openxmlformats.org/officeDocument/2006/relationships/image" Target="/xl/media/image132.png" Id="rId131"/><Relationship Type="http://schemas.openxmlformats.org/officeDocument/2006/relationships/image" Target="/xl/media/image133.png" Id="rId132"/><Relationship Type="http://schemas.openxmlformats.org/officeDocument/2006/relationships/image" Target="/xl/media/image134.png" Id="rId133"/><Relationship Type="http://schemas.openxmlformats.org/officeDocument/2006/relationships/image" Target="/xl/media/image135.png" Id="rId134"/><Relationship Type="http://schemas.openxmlformats.org/officeDocument/2006/relationships/image" Target="/xl/media/image136.png" Id="rId135"/><Relationship Type="http://schemas.openxmlformats.org/officeDocument/2006/relationships/image" Target="/xl/media/image137.png" Id="rId136"/><Relationship Type="http://schemas.openxmlformats.org/officeDocument/2006/relationships/image" Target="/xl/media/image138.png" Id="rId137"/><Relationship Type="http://schemas.openxmlformats.org/officeDocument/2006/relationships/image" Target="/xl/media/image139.png" Id="rId138"/><Relationship Type="http://schemas.openxmlformats.org/officeDocument/2006/relationships/image" Target="/xl/media/image140.png" Id="rId139"/><Relationship Type="http://schemas.openxmlformats.org/officeDocument/2006/relationships/image" Target="/xl/media/image141.png" Id="rId140"/><Relationship Type="http://schemas.openxmlformats.org/officeDocument/2006/relationships/image" Target="/xl/media/image142.png" Id="rId141"/><Relationship Type="http://schemas.openxmlformats.org/officeDocument/2006/relationships/image" Target="/xl/media/image143.png" Id="rId142"/><Relationship Type="http://schemas.openxmlformats.org/officeDocument/2006/relationships/image" Target="/xl/media/image144.png" Id="rId143"/><Relationship Type="http://schemas.openxmlformats.org/officeDocument/2006/relationships/image" Target="/xl/media/image145.png" Id="rId14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46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30480</colOff>
      <row>0</row>
      <rowOff>38100</rowOff>
    </from>
    <to>
      <col>15</col>
      <colOff>22860</colOff>
      <row>17</row>
      <rowOff>73751</rowOff>
    </to>
    <pic>
      <nvPicPr>
        <cNvPr id="3" name="Imagem 2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6680" y="38100"/>
          <a:ext cx="9380220" cy="30150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11</col>
      <colOff>14601</colOff>
      <row>13</row>
      <rowOff>19250</rowOff>
    </from>
    <to>
      <col>11</col>
      <colOff>271181</colOff>
      <row>13</row>
      <rowOff>177650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146921" y="4819850"/>
          <a:ext cx="25658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13610</colOff>
      <row>14</row>
      <rowOff>23477</rowOff>
    </from>
    <to>
      <col>5</col>
      <colOff>270427</colOff>
      <row>14</row>
      <rowOff>181877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70570" y="5029817"/>
          <a:ext cx="25681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13609</colOff>
      <row>13</row>
      <rowOff>22403</rowOff>
    </from>
    <to>
      <col>5</col>
      <colOff>269428</colOff>
      <row>13</row>
      <rowOff>180803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170569" y="4823003"/>
          <a:ext cx="255819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15091</colOff>
      <row>14</row>
      <rowOff>16915</rowOff>
    </from>
    <to>
      <col>11</col>
      <colOff>270691</colOff>
      <row>14</row>
      <rowOff>174264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147411" y="5023255"/>
          <a:ext cx="255600" cy="1573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21229</colOff>
      <row>16</row>
      <rowOff>22404</rowOff>
    </from>
    <to>
      <col>5</col>
      <colOff>277049</colOff>
      <row>16</row>
      <rowOff>180804</rowOff>
    </to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6178189" y="5440224"/>
          <a:ext cx="25582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14353</colOff>
      <row>17</row>
      <rowOff>22056</rowOff>
    </from>
    <to>
      <col>11</col>
      <colOff>271430</colOff>
      <row>17</row>
      <rowOff>180456</rowOff>
    </to>
    <pic>
      <nvPicPr>
        <cNvPr id="7" name="Imagem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7146673" y="5645616"/>
          <a:ext cx="25707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15091</colOff>
      <row>15</row>
      <rowOff>23854</rowOff>
    </from>
    <to>
      <col>11</col>
      <colOff>270691</colOff>
      <row>15</row>
      <rowOff>180406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147411" y="5235934"/>
          <a:ext cx="255600" cy="1565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15614</colOff>
      <row>18</row>
      <rowOff>16636</rowOff>
    </from>
    <to>
      <col>5</col>
      <colOff>272192</colOff>
      <row>18</row>
      <rowOff>175036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172574" y="5845936"/>
          <a:ext cx="256578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16103</colOff>
      <row>17</row>
      <rowOff>23541</rowOff>
    </from>
    <to>
      <col>5</col>
      <colOff>271703</colOff>
      <row>17</row>
      <rowOff>180890</rowOff>
    </to>
    <pic>
      <nvPicPr>
        <cNvPr id="10" name="Imagem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6173063" y="5647101"/>
          <a:ext cx="255600" cy="1573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22269</colOff>
      <row>15</row>
      <rowOff>23907</rowOff>
    </from>
    <to>
      <col>5</col>
      <colOff>277869</colOff>
      <row>15</row>
      <rowOff>180000</rowOff>
    </to>
    <pic>
      <nvPicPr>
        <cNvPr id="11" name="Imagem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6179229" y="5235987"/>
          <a:ext cx="255600" cy="1560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15091</colOff>
      <row>16</row>
      <rowOff>15509</rowOff>
    </from>
    <to>
      <col>11</col>
      <colOff>270691</colOff>
      <row>16</row>
      <rowOff>171140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7147411" y="5433329"/>
          <a:ext cx="255600" cy="1556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14484</colOff>
      <row>18</row>
      <rowOff>16851</rowOff>
    </from>
    <to>
      <col>11</col>
      <colOff>271298</colOff>
      <row>18</row>
      <rowOff>175251</rowOff>
    </to>
    <pic>
      <nvPicPr>
        <cNvPr id="13" name="Imagem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7146804" y="5846151"/>
          <a:ext cx="256814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21074</colOff>
      <row>8</row>
      <rowOff>29392</rowOff>
    </from>
    <to>
      <col>11</col>
      <colOff>275084</colOff>
      <row>8</row>
      <rowOff>187792</rowOff>
    </to>
    <pic>
      <nvPicPr>
        <cNvPr id="14" name="Imagem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7153394" y="1820092"/>
          <a:ext cx="25401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12423</colOff>
      <row>5</row>
      <rowOff>23624</rowOff>
    </from>
    <to>
      <col>5</col>
      <colOff>268023</colOff>
      <row>5</row>
      <rowOff>177203</rowOff>
    </to>
    <pic>
      <nvPicPr>
        <cNvPr id="15" name="Imagem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6169383" y="1197104"/>
          <a:ext cx="255600" cy="1535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19425</colOff>
      <row>5</row>
      <rowOff>22013</rowOff>
    </from>
    <to>
      <col>11</col>
      <colOff>276733</colOff>
      <row>5</row>
      <rowOff>180413</rowOff>
    </to>
    <pic>
      <nvPicPr>
        <cNvPr id="16" name="Imagem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7151745" y="1195493"/>
          <a:ext cx="257308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21073</colOff>
      <row>10</row>
      <rowOff>10637</rowOff>
    </from>
    <to>
      <col>11</col>
      <colOff>275086</colOff>
      <row>10</row>
      <rowOff>169037</rowOff>
    </to>
    <pic>
      <nvPicPr>
        <cNvPr id="17" name="Imagem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7153393" y="2212817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21073</colOff>
      <row>7</row>
      <rowOff>31737</rowOff>
    </from>
    <to>
      <col>11</col>
      <colOff>275085</colOff>
      <row>7</row>
      <rowOff>190137</rowOff>
    </to>
    <pic>
      <nvPicPr>
        <cNvPr id="18" name="Imagem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7153393" y="1616697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13217</colOff>
      <row>10</row>
      <rowOff>23757</rowOff>
    </from>
    <to>
      <col>5</col>
      <colOff>267230</colOff>
      <row>10</row>
      <rowOff>182157</rowOff>
    </to>
    <pic>
      <nvPicPr>
        <cNvPr id="19" name="Imagem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6170177" y="2225937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13218</colOff>
      <row>6</row>
      <rowOff>12487</rowOff>
    </from>
    <to>
      <col>5</col>
      <colOff>267228</colOff>
      <row>6</row>
      <rowOff>170887</rowOff>
    </to>
    <pic>
      <nvPicPr>
        <cNvPr id="20" name="Imagem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6170178" y="1391707"/>
          <a:ext cx="25401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20215</colOff>
      <row>9</row>
      <rowOff>23477</rowOff>
    </from>
    <to>
      <col>11</col>
      <colOff>275944</colOff>
      <row>9</row>
      <rowOff>181877</rowOff>
    </to>
    <pic>
      <nvPicPr>
        <cNvPr id="21" name="Imagem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7152535" y="2019917"/>
          <a:ext cx="255729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12423</colOff>
      <row>8</row>
      <rowOff>36520</rowOff>
    </from>
    <to>
      <col>5</col>
      <colOff>268023</colOff>
      <row>8</row>
      <rowOff>190099</rowOff>
    </to>
    <pic>
      <nvPicPr>
        <cNvPr id="22" name="Imagem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6169383" y="1827220"/>
          <a:ext cx="255600" cy="1535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20079</colOff>
      <row>6</row>
      <rowOff>23125</rowOff>
    </from>
    <to>
      <col>24</col>
      <colOff>274089</colOff>
      <row>6</row>
      <rowOff>181525</rowOff>
    </to>
    <pic>
      <nvPicPr>
        <cNvPr id="23" name="Imagem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1356294" y="960971"/>
          <a:ext cx="25401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20956</colOff>
      <row>5</row>
      <rowOff>17264</rowOff>
    </from>
    <to>
      <col>18</col>
      <colOff>274968</colOff>
      <row>5</row>
      <rowOff>175664</rowOff>
    </to>
    <pic>
      <nvPicPr>
        <cNvPr id="24" name="Imagem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0415687" y="758243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21275</colOff>
      <row>6</row>
      <rowOff>21489</rowOff>
    </from>
    <to>
      <col>18</col>
      <colOff>275285</colOff>
      <row>6</row>
      <rowOff>179889</rowOff>
    </to>
    <pic>
      <nvPicPr>
        <cNvPr id="25" name="Imagem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6178235" y="3214269"/>
          <a:ext cx="25401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16325</colOff>
      <row>8</row>
      <rowOff>17865</rowOff>
    </from>
    <to>
      <col>24</col>
      <colOff>277844</colOff>
      <row>8</row>
      <rowOff>176265</rowOff>
    </to>
    <pic>
      <nvPicPr>
        <cNvPr id="26" name="Imagem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1352540" y="1366019"/>
          <a:ext cx="261519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16326</colOff>
      <row>10</row>
      <rowOff>18526</rowOff>
    </from>
    <to>
      <col>24</col>
      <colOff>277842</colOff>
      <row>10</row>
      <rowOff>176926</rowOff>
    </to>
    <pic>
      <nvPicPr>
        <cNvPr id="27" name="Imagem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1352541" y="1776988"/>
          <a:ext cx="261516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20956</colOff>
      <row>9</row>
      <rowOff>23125</rowOff>
    </from>
    <to>
      <col>18</col>
      <colOff>274968</colOff>
      <row>9</row>
      <rowOff>181525</rowOff>
    </to>
    <pic>
      <nvPicPr>
        <cNvPr id="28" name="Imagem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0415687" y="1583911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17466</colOff>
      <row>7</row>
      <rowOff>26107</rowOff>
    </from>
    <to>
      <col>18</col>
      <colOff>271476</colOff>
      <row>7</row>
      <rowOff>184507</rowOff>
    </to>
    <pic>
      <nvPicPr>
        <cNvPr id="29" name="Imagem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0374804" y="1169107"/>
          <a:ext cx="25401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20078</colOff>
      <row>9</row>
      <rowOff>19879</rowOff>
    </from>
    <to>
      <col>24</col>
      <colOff>274090</colOff>
      <row>9</row>
      <rowOff>178279</rowOff>
    </to>
    <pic>
      <nvPicPr>
        <cNvPr id="30" name="Imagem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1356293" y="1573187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20957</colOff>
      <row>8</row>
      <rowOff>20247</rowOff>
    </from>
    <to>
      <col>18</col>
      <colOff>274967</colOff>
      <row>8</row>
      <rowOff>178647</rowOff>
    </to>
    <pic>
      <nvPicPr>
        <cNvPr id="31" name="Imagem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10415688" y="1376081"/>
          <a:ext cx="25401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18348</colOff>
      <row>13</row>
      <rowOff>21147</rowOff>
    </from>
    <to>
      <col>18</col>
      <colOff>272360</colOff>
      <row>13</row>
      <rowOff>179547</rowOff>
    </to>
    <pic>
      <nvPicPr>
        <cNvPr id="32" name="Imagem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10413079" y="2286126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16260</colOff>
      <row>13</row>
      <rowOff>21488</rowOff>
    </from>
    <to>
      <col>24</col>
      <colOff>270272</colOff>
      <row>13</row>
      <rowOff>179888</rowOff>
    </to>
    <pic>
      <nvPicPr>
        <cNvPr id="33" name="Imagem 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7148580" y="6635648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18348</colOff>
      <row>14</row>
      <rowOff>25588</rowOff>
    </from>
    <to>
      <col>18</col>
      <colOff>272360</colOff>
      <row>14</row>
      <rowOff>183988</rowOff>
    </to>
    <pic>
      <nvPicPr>
        <cNvPr id="34" name="Imagem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10413079" y="2495519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18348</colOff>
      <row>16</row>
      <rowOff>18659</rowOff>
    </from>
    <to>
      <col>18</col>
      <colOff>272360</colOff>
      <row>16</row>
      <rowOff>177059</rowOff>
    </to>
    <pic>
      <nvPicPr>
        <cNvPr id="35" name="Imagem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10413079" y="2898493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14648</colOff>
      <row>17</row>
      <rowOff>17263</rowOff>
    </from>
    <to>
      <col>24</col>
      <colOff>268661</colOff>
      <row>17</row>
      <rowOff>175663</rowOff>
    </to>
    <pic>
      <nvPicPr>
        <cNvPr id="36" name="Imagem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7146968" y="7454383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17554</colOff>
      <row>18</row>
      <rowOff>25151</rowOff>
    </from>
    <to>
      <col>18</col>
      <colOff>273154</colOff>
      <row>18</row>
      <rowOff>178731</rowOff>
    </to>
    <pic>
      <nvPicPr>
        <cNvPr id="37" name="Imagem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10412285" y="3314889"/>
          <a:ext cx="255600" cy="153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16260</colOff>
      <row>15</row>
      <rowOff>22482</rowOff>
    </from>
    <to>
      <col>24</col>
      <colOff>270272</colOff>
      <row>15</row>
      <rowOff>180882</rowOff>
    </to>
    <pic>
      <nvPicPr>
        <cNvPr id="38" name="Imagem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7148580" y="7048122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20485</colOff>
      <row>18</row>
      <rowOff>25716</rowOff>
    </from>
    <to>
      <col>24</col>
      <colOff>274498</colOff>
      <row>18</row>
      <rowOff>184116</rowOff>
    </to>
    <pic>
      <nvPicPr>
        <cNvPr id="39" name="Imagem 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7152805" y="7668576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17522</colOff>
      <row>16</row>
      <rowOff>27703</rowOff>
    </from>
    <to>
      <col>24</col>
      <colOff>273251</colOff>
      <row>16</row>
      <rowOff>186103</rowOff>
    </to>
    <pic>
      <nvPicPr>
        <cNvPr id="40" name="Imagem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7149842" y="7259083"/>
          <a:ext cx="255729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16271</colOff>
      <row>22</row>
      <rowOff>12034</rowOff>
    </from>
    <to>
      <col>5</col>
      <colOff>270284</colOff>
      <row>22</row>
      <rowOff>170434</rowOff>
    </to>
    <pic>
      <nvPicPr>
        <cNvPr id="41" name="Imagem 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6173231" y="8645494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17286</colOff>
      <row>21</row>
      <rowOff>14864</rowOff>
    </from>
    <to>
      <col>5</col>
      <colOff>269269</colOff>
      <row>21</row>
      <rowOff>173264</rowOff>
    </to>
    <pic>
      <nvPicPr>
        <cNvPr id="42" name="Imagem 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6174246" y="8442584"/>
          <a:ext cx="25198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15651</colOff>
      <row>22</row>
      <rowOff>19090</rowOff>
    </from>
    <to>
      <col>11</col>
      <colOff>269664</colOff>
      <row>22</row>
      <rowOff>177490</rowOff>
    </to>
    <pic>
      <nvPicPr>
        <cNvPr id="43" name="Imagem 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7147971" y="8652550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15651</colOff>
      <row>21</row>
      <rowOff>16688</rowOff>
    </from>
    <to>
      <col>11</col>
      <colOff>269664</colOff>
      <row>21</row>
      <rowOff>175088</rowOff>
    </to>
    <pic>
      <nvPicPr>
        <cNvPr id="44" name="Imagem 4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7147971" y="8444408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11899</colOff>
      <row>25</row>
      <rowOff>20514</rowOff>
    </from>
    <to>
      <col>11</col>
      <colOff>273416</colOff>
      <row>25</row>
      <rowOff>178914</rowOff>
    </to>
    <pic>
      <nvPicPr>
        <cNvPr id="45" name="Imagem 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7144219" y="9271194"/>
          <a:ext cx="26151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17286</colOff>
      <row>23</row>
      <rowOff>15858</rowOff>
    </from>
    <to>
      <col>5</col>
      <colOff>269268</colOff>
      <row>23</row>
      <rowOff>174258</rowOff>
    </to>
    <pic>
      <nvPicPr>
        <cNvPr id="46" name="Imagem 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6174246" y="8855058"/>
          <a:ext cx="25198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14853</colOff>
      <row>24</row>
      <rowOff>18462</rowOff>
    </from>
    <to>
      <col>5</col>
      <colOff>268865</colOff>
      <row>24</row>
      <rowOff>176862</rowOff>
    </to>
    <pic>
      <nvPicPr>
        <cNvPr id="47" name="Imagem 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6171813" y="9063402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17286</colOff>
      <row>25</row>
      <rowOff>25088</rowOff>
    </from>
    <to>
      <col>5</col>
      <colOff>269269</colOff>
      <row>25</row>
      <rowOff>183488</rowOff>
    </to>
    <pic>
      <nvPicPr>
        <cNvPr id="48" name="Imagem 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6174246" y="9275768"/>
          <a:ext cx="25198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14657</colOff>
      <row>23</row>
      <rowOff>25878</rowOff>
    </from>
    <to>
      <col>11</col>
      <colOff>268669</colOff>
      <row>23</row>
      <rowOff>184278</rowOff>
    </to>
    <pic>
      <nvPicPr>
        <cNvPr id="49" name="Imagem 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7146977" y="8865078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15651</colOff>
      <row>26</row>
      <rowOff>26280</rowOff>
    </from>
    <to>
      <col>11</col>
      <colOff>269663</colOff>
      <row>26</row>
      <rowOff>184680</rowOff>
    </to>
    <pic>
      <nvPicPr>
        <cNvPr id="50" name="Imagem 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7147971" y="9482700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15651</colOff>
      <row>24</row>
      <rowOff>19669</rowOff>
    </from>
    <to>
      <col>11</col>
      <colOff>269663</colOff>
      <row>24</row>
      <rowOff>178069</rowOff>
    </to>
    <pic>
      <nvPicPr>
        <cNvPr id="51" name="Imagem 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7147971" y="9064609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17286</colOff>
      <row>26</row>
      <rowOff>20697</rowOff>
    </from>
    <to>
      <col>5</col>
      <colOff>269268</colOff>
      <row>26</row>
      <rowOff>182079</rowOff>
    </to>
    <pic>
      <nvPicPr>
        <cNvPr id="52" name="Imagem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6174246" y="9477117"/>
          <a:ext cx="251982" cy="161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17285</colOff>
      <row>21</row>
      <rowOff>23541</rowOff>
    </from>
    <to>
      <col>18</col>
      <colOff>272538</colOff>
      <row>21</row>
      <rowOff>181941</rowOff>
    </to>
    <pic>
      <nvPicPr>
        <cNvPr id="53" name="Imagem 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10406989" y="3813663"/>
          <a:ext cx="25525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17111</colOff>
      <row>25</row>
      <rowOff>11901</rowOff>
    </from>
    <to>
      <col>18</col>
      <colOff>272711</colOff>
      <row>25</row>
      <rowOff>166718</rowOff>
    </to>
    <pic>
      <nvPicPr>
        <cNvPr id="54" name="Imagem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6174071" y="11076141"/>
          <a:ext cx="255600" cy="1548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20486</colOff>
      <row>22</row>
      <rowOff>23101</rowOff>
    </from>
    <to>
      <col>24</col>
      <colOff>274499</colOff>
      <row>22</row>
      <rowOff>181501</rowOff>
    </to>
    <pic>
      <nvPicPr>
        <cNvPr id="55" name="Imagem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7152806" y="10470121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16475</colOff>
      <row>23</row>
      <rowOff>19090</rowOff>
    </from>
    <to>
      <col>18</col>
      <colOff>270487</colOff>
      <row>23</row>
      <rowOff>177490</rowOff>
    </to>
    <pic>
      <nvPicPr>
        <cNvPr id="56" name="Imagem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6173435" y="10671850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18920</colOff>
      <row>26</row>
      <rowOff>19089</rowOff>
    </from>
    <to>
      <col>18</col>
      <colOff>270902</colOff>
      <row>26</row>
      <rowOff>177489</rowOff>
    </to>
    <pic>
      <nvPicPr>
        <cNvPr id="57" name="Imagem 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6175880" y="11289069"/>
          <a:ext cx="25198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14647</colOff>
      <row>26</row>
      <rowOff>22644</rowOff>
    </from>
    <to>
      <col>24</col>
      <colOff>268659</colOff>
      <row>26</row>
      <rowOff>182187</rowOff>
    </to>
    <pic>
      <nvPicPr>
        <cNvPr id="58" name="Imagem 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7146967" y="11292624"/>
          <a:ext cx="254012" cy="1595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20926</colOff>
      <row>24</row>
      <rowOff>22268</rowOff>
    </from>
    <to>
      <col>18</col>
      <colOff>272909</colOff>
      <row>24</row>
      <rowOff>183649</rowOff>
    </to>
    <pic>
      <nvPicPr>
        <cNvPr id="59" name="Imagem 5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6177886" y="10880768"/>
          <a:ext cx="251983" cy="1613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8237</colOff>
      <row>21</row>
      <rowOff>13297</rowOff>
    </from>
    <to>
      <col>24</col>
      <colOff>263837</colOff>
      <row>21</row>
      <rowOff>166876</rowOff>
    </to>
    <pic>
      <nvPicPr>
        <cNvPr id="60" name="Imagem 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11385228" y="3803419"/>
          <a:ext cx="255600" cy="1535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19519</colOff>
      <row>23</row>
      <rowOff>16852</rowOff>
    </from>
    <to>
      <col>24</col>
      <colOff>271503</colOff>
      <row>23</row>
      <rowOff>175252</rowOff>
    </to>
    <pic>
      <nvPicPr>
        <cNvPr id="61" name="Imagem 6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7151839" y="10669612"/>
          <a:ext cx="251984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14649</colOff>
      <row>30</row>
      <rowOff>17262</rowOff>
    </from>
    <to>
      <col>5</col>
      <colOff>268662</colOff>
      <row>30</row>
      <rowOff>175662</rowOff>
    </to>
    <pic>
      <nvPicPr>
        <cNvPr id="62" name="Imagem 6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6171609" y="12277842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7889</colOff>
      <row>30</row>
      <rowOff>25152</rowOff>
    </from>
    <to>
      <col>11</col>
      <colOff>269406</colOff>
      <row>30</row>
      <rowOff>183552</rowOff>
    </to>
    <pic>
      <nvPicPr>
        <cNvPr id="63" name="Imagem 6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7140209" y="12285732"/>
          <a:ext cx="26151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16475</colOff>
      <row>29</row>
      <rowOff>29724</rowOff>
    </from>
    <to>
      <col>11</col>
      <colOff>270485</colOff>
      <row>29</row>
      <rowOff>188124</rowOff>
    </to>
    <pic>
      <nvPicPr>
        <cNvPr id="64" name="Imagem 6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7148795" y="12084564"/>
          <a:ext cx="25401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12249</colOff>
      <row>29</row>
      <rowOff>22967</rowOff>
    </from>
    <to>
      <col>5</col>
      <colOff>275873</colOff>
      <row>29</row>
      <rowOff>181367</rowOff>
    </to>
    <pic>
      <nvPicPr>
        <cNvPr id="65" name="Imagem 6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6169209" y="12077807"/>
          <a:ext cx="263624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12034</colOff>
      <row>33</row>
      <rowOff>32153</rowOff>
    </from>
    <to>
      <col>11</col>
      <colOff>269342</colOff>
      <row>33</row>
      <rowOff>190553</rowOff>
    </to>
    <pic>
      <nvPicPr>
        <cNvPr id="66" name="Imagem 6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7144354" y="12909953"/>
          <a:ext cx="257308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16045</colOff>
      <row>31</row>
      <rowOff>17262</rowOff>
    </from>
    <to>
      <col>11</col>
      <colOff>270058</colOff>
      <row>31</row>
      <rowOff>175662</rowOff>
    </to>
    <pic>
      <nvPicPr>
        <cNvPr id="67" name="Imagem 6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7148365" y="12483582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11255</colOff>
      <row>34</row>
      <rowOff>32771</rowOff>
    </from>
    <to>
      <col>5</col>
      <colOff>274877</colOff>
      <row>34</row>
      <rowOff>191171</rowOff>
    </to>
    <pic>
      <nvPicPr>
        <cNvPr id="68" name="Imagem 6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6168215" y="13116311"/>
          <a:ext cx="26362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12249</colOff>
      <row>32</row>
      <rowOff>25151</rowOff>
    </from>
    <to>
      <col>5</col>
      <colOff>275870</colOff>
      <row>32</row>
      <rowOff>183551</rowOff>
    </to>
    <pic>
      <nvPicPr>
        <cNvPr id="69" name="Imagem 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6169209" y="12697211"/>
          <a:ext cx="263621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16475</colOff>
      <row>32</row>
      <rowOff>19087</rowOff>
    </from>
    <to>
      <col>11</col>
      <colOff>270487</colOff>
      <row>32</row>
      <rowOff>177487</rowOff>
    </to>
    <pic>
      <nvPicPr>
        <cNvPr id="70" name="Imagem 6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7148795" y="12691147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16260</colOff>
      <row>33</row>
      <rowOff>27701</rowOff>
    </from>
    <to>
      <col>5</col>
      <colOff>270272</colOff>
      <row>33</row>
      <rowOff>186101</rowOff>
    </to>
    <pic>
      <nvPicPr>
        <cNvPr id="71" name="Imagem 7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6173220" y="12905501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12249</colOff>
      <row>31</row>
      <rowOff>22966</rowOff>
    </from>
    <to>
      <col>5</col>
      <colOff>275870</colOff>
      <row>31</row>
      <rowOff>181366</rowOff>
    </to>
    <pic>
      <nvPicPr>
        <cNvPr id="72" name="Imagem 7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6169209" y="12489286"/>
          <a:ext cx="263621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16341</colOff>
      <row>34</row>
      <rowOff>25948</rowOff>
    </from>
    <to>
      <col>11</col>
      <colOff>277858</colOff>
      <row>34</row>
      <rowOff>184348</rowOff>
    </to>
    <pic>
      <nvPicPr>
        <cNvPr id="73" name="Imagem 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7148661" y="13109488"/>
          <a:ext cx="26151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18659</colOff>
      <row>29</row>
      <rowOff>18660</rowOff>
    </from>
    <to>
      <col>24</col>
      <colOff>272669</colOff>
      <row>29</row>
      <rowOff>177060</rowOff>
    </to>
    <pic>
      <nvPicPr>
        <cNvPr id="74" name="Imagem 7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xfrm xmlns:a="http://schemas.openxmlformats.org/drawingml/2006/main">
          <a:off x="7150979" y="13887060"/>
          <a:ext cx="25401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14199</colOff>
      <row>30</row>
      <rowOff>18528</rowOff>
    </from>
    <to>
      <col>18</col>
      <colOff>269799</colOff>
      <row>30</row>
      <rowOff>171077</rowOff>
    </to>
    <pic>
      <nvPicPr>
        <cNvPr id="75" name="Imagem 7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6171159" y="14092668"/>
          <a:ext cx="255600" cy="1525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14136</colOff>
      <row>29</row>
      <rowOff>19090</rowOff>
    </from>
    <to>
      <col>18</col>
      <colOff>269862</colOff>
      <row>29</row>
      <rowOff>177490</rowOff>
    </to>
    <pic>
      <nvPicPr>
        <cNvPr id="76" name="Imagem 7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xfrm xmlns:a="http://schemas.openxmlformats.org/drawingml/2006/main">
          <a:off x="6171096" y="13887490"/>
          <a:ext cx="255726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18085</colOff>
      <row>30</row>
      <rowOff>24712</rowOff>
    </from>
    <to>
      <col>24</col>
      <colOff>272097</colOff>
      <row>30</row>
      <rowOff>181908</rowOff>
    </to>
    <pic>
      <nvPicPr>
        <cNvPr id="77" name="Imagem 7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7150405" y="14098852"/>
          <a:ext cx="254012" cy="1571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14993</colOff>
      <row>31</row>
      <rowOff>23102</rowOff>
    </from>
    <to>
      <col>18</col>
      <colOff>269006</colOff>
      <row>31</row>
      <rowOff>181502</rowOff>
    </to>
    <pic>
      <nvPicPr>
        <cNvPr id="78" name="Imagem 7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6171953" y="14302982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20485</colOff>
      <row>34</row>
      <rowOff>27704</rowOff>
    </from>
    <to>
      <col>24</col>
      <colOff>274497</colOff>
      <row>34</row>
      <rowOff>186104</rowOff>
    </to>
    <pic>
      <nvPicPr>
        <cNvPr id="79" name="Imagem 7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xfrm xmlns:a="http://schemas.openxmlformats.org/drawingml/2006/main">
          <a:off x="7152805" y="14924804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12248</colOff>
      <row>31</row>
      <rowOff>18526</rowOff>
    </from>
    <to>
      <col>24</col>
      <colOff>275870</colOff>
      <row>31</row>
      <rowOff>176926</rowOff>
    </to>
    <pic>
      <nvPicPr>
        <cNvPr id="80" name="Imagem 7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xfrm xmlns:a="http://schemas.openxmlformats.org/drawingml/2006/main">
          <a:off x="7144568" y="14298406"/>
          <a:ext cx="26362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12248</colOff>
      <row>33</row>
      <rowOff>23129</rowOff>
    </from>
    <to>
      <col>24</col>
      <colOff>275870</colOff>
      <row>33</row>
      <rowOff>181529</rowOff>
    </to>
    <pic>
      <nvPicPr>
        <cNvPr id="81" name="Imagem 8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xfrm xmlns:a="http://schemas.openxmlformats.org/drawingml/2006/main">
          <a:off x="7144568" y="14714489"/>
          <a:ext cx="26362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11490</colOff>
      <row>34</row>
      <rowOff>34196</rowOff>
    </from>
    <to>
      <col>19</col>
      <colOff>475</colOff>
      <row>34</row>
      <rowOff>192596</rowOff>
    </to>
    <pic>
      <nvPicPr>
        <cNvPr id="82" name="Imagem 8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xfrm xmlns:a="http://schemas.openxmlformats.org/drawingml/2006/main">
          <a:off x="6168450" y="14931296"/>
          <a:ext cx="270925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14135</colOff>
      <row>32</row>
      <rowOff>23316</rowOff>
    </from>
    <to>
      <col>18</col>
      <colOff>269863</colOff>
      <row>32</row>
      <rowOff>181716</rowOff>
    </to>
    <pic>
      <nvPicPr>
        <cNvPr id="83" name="Imagem 8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xfrm xmlns:a="http://schemas.openxmlformats.org/drawingml/2006/main">
          <a:off x="6171095" y="14508936"/>
          <a:ext cx="255728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18659</colOff>
      <row>32</row>
      <rowOff>14650</rowOff>
    </from>
    <to>
      <col>24</col>
      <colOff>272671</colOff>
      <row>32</row>
      <rowOff>176032</rowOff>
    </to>
    <pic>
      <nvPicPr>
        <cNvPr id="84" name="Imagem 8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xfrm xmlns:a="http://schemas.openxmlformats.org/drawingml/2006/main">
          <a:off x="7150979" y="14500270"/>
          <a:ext cx="254012" cy="161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14135</colOff>
      <row>33</row>
      <rowOff>20247</rowOff>
    </from>
    <to>
      <col>18</col>
      <colOff>269863</colOff>
      <row>33</row>
      <rowOff>178647</rowOff>
    </to>
    <pic>
      <nvPicPr>
        <cNvPr id="85" name="Imagem 8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xfrm xmlns:a="http://schemas.openxmlformats.org/drawingml/2006/main">
          <a:off x="6171095" y="14711607"/>
          <a:ext cx="255728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16044</colOff>
      <row>37</row>
      <rowOff>21274</rowOff>
    </from>
    <to>
      <col>11</col>
      <colOff>270054</colOff>
      <row>37</row>
      <rowOff>179674</rowOff>
    </to>
    <pic>
      <nvPicPr>
        <cNvPr id="86" name="Imagem 8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xfrm xmlns:a="http://schemas.openxmlformats.org/drawingml/2006/main">
          <a:off x="7148364" y="15703234"/>
          <a:ext cx="25401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11902</colOff>
      <row>37</row>
      <rowOff>17264</rowOff>
    </from>
    <to>
      <col>5</col>
      <colOff>263883</colOff>
      <row>37</row>
      <rowOff>175664</rowOff>
    </to>
    <pic>
      <nvPicPr>
        <cNvPr id="87" name="Imagem 8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xfrm xmlns:a="http://schemas.openxmlformats.org/drawingml/2006/main">
          <a:off x="4014059" y="6855386"/>
          <a:ext cx="251981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11900</colOff>
      <row>38</row>
      <rowOff>21141</rowOff>
    </from>
    <to>
      <col>11</col>
      <colOff>273419</colOff>
      <row>38</row>
      <rowOff>179541</rowOff>
    </to>
    <pic>
      <nvPicPr>
        <cNvPr id="88" name="Imagem 8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xfrm xmlns:a="http://schemas.openxmlformats.org/drawingml/2006/main">
          <a:off x="7144220" y="15908841"/>
          <a:ext cx="261519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20924</colOff>
      <row>41</row>
      <rowOff>17265</rowOff>
    </from>
    <to>
      <col>11</col>
      <colOff>272908</colOff>
      <row>41</row>
      <rowOff>175665</rowOff>
    </to>
    <pic>
      <nvPicPr>
        <cNvPr id="89" name="Imagem 8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xfrm xmlns:a="http://schemas.openxmlformats.org/drawingml/2006/main">
          <a:off x="7153244" y="16522185"/>
          <a:ext cx="251984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18528</colOff>
      <row>39</row>
      <rowOff>21276</rowOff>
    </from>
    <to>
      <col>5</col>
      <colOff>270510</colOff>
      <row>39</row>
      <rowOff>179676</rowOff>
    </to>
    <pic>
      <nvPicPr>
        <cNvPr id="90" name="Imagem 8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xfrm xmlns:a="http://schemas.openxmlformats.org/drawingml/2006/main">
          <a:off x="6175488" y="16114716"/>
          <a:ext cx="25198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18528</colOff>
      <row>40</row>
      <rowOff>14515</rowOff>
    </from>
    <to>
      <col>6</col>
      <colOff>644</colOff>
      <row>40</row>
      <rowOff>172915</rowOff>
    </to>
    <pic>
      <nvPicPr>
        <cNvPr id="91" name="Imagem 9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xfrm xmlns:a="http://schemas.openxmlformats.org/drawingml/2006/main">
          <a:off x="6175488" y="16313695"/>
          <a:ext cx="264056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22539</colOff>
      <row>41</row>
      <rowOff>18874</rowOff>
    </from>
    <to>
      <col>5</col>
      <colOff>274521</colOff>
      <row>41</row>
      <rowOff>177274</rowOff>
    </to>
    <pic>
      <nvPicPr>
        <cNvPr id="92" name="Imagem 9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xfrm xmlns:a="http://schemas.openxmlformats.org/drawingml/2006/main">
          <a:off x="6179499" y="16523794"/>
          <a:ext cx="25198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12033</colOff>
      <row>40</row>
      <rowOff>18660</rowOff>
    </from>
    <to>
      <col>11</col>
      <colOff>266046</colOff>
      <row>40</row>
      <rowOff>177060</rowOff>
    </to>
    <pic>
      <nvPicPr>
        <cNvPr id="93" name="Imagem 9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xfrm xmlns:a="http://schemas.openxmlformats.org/drawingml/2006/main">
          <a:off x="7144353" y="16317840"/>
          <a:ext cx="254013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22539</colOff>
      <row>42</row>
      <rowOff>18659</rowOff>
    </from>
    <to>
      <col>5</col>
      <colOff>274521</colOff>
      <row>42</row>
      <rowOff>177059</rowOff>
    </to>
    <pic>
      <nvPicPr>
        <cNvPr id="94" name="Imagem 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xfrm xmlns:a="http://schemas.openxmlformats.org/drawingml/2006/main">
          <a:off x="6179499" y="16729319"/>
          <a:ext cx="25198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19520</colOff>
      <row>37</row>
      <rowOff>27140</rowOff>
    </from>
    <to>
      <col>19</col>
      <colOff>1637</colOff>
      <row>37</row>
      <rowOff>185540</rowOff>
    </to>
    <pic>
      <nvPicPr>
        <cNvPr id="95" name="Imagem 9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xfrm xmlns:a="http://schemas.openxmlformats.org/drawingml/2006/main">
          <a:off x="6176480" y="17522660"/>
          <a:ext cx="26405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22537</colOff>
      <row>38</row>
      <rowOff>32707</rowOff>
    </from>
    <to>
      <col>18</col>
      <colOff>274519</colOff>
      <row>38</row>
      <rowOff>191107</rowOff>
    </to>
    <pic>
      <nvPicPr>
        <cNvPr id="96" name="Imagem 9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xfrm xmlns:a="http://schemas.openxmlformats.org/drawingml/2006/main">
          <a:off x="6179497" y="17733967"/>
          <a:ext cx="25198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16953</colOff>
      <row>38</row>
      <rowOff>29313</rowOff>
    </from>
    <to>
      <col>24</col>
      <colOff>268937</colOff>
      <row>38</row>
      <rowOff>190695</rowOff>
    </to>
    <pic>
      <nvPicPr>
        <cNvPr id="97" name="Imagem 9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xfrm xmlns:a="http://schemas.openxmlformats.org/drawingml/2006/main">
          <a:off x="7149273" y="17730573"/>
          <a:ext cx="251984" cy="161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15939</colOff>
      <row>42</row>
      <rowOff>13859</rowOff>
    </from>
    <to>
      <col>24</col>
      <colOff>269951</colOff>
      <row>42</row>
      <rowOff>172259</rowOff>
    </to>
    <pic>
      <nvPicPr>
        <cNvPr id="98" name="Imagem 9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xfrm xmlns:a="http://schemas.openxmlformats.org/drawingml/2006/main">
          <a:off x="7148259" y="18538079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22537</colOff>
      <row>39</row>
      <rowOff>12463</rowOff>
    </from>
    <to>
      <col>18</col>
      <colOff>274519</colOff>
      <row>39</row>
      <rowOff>170863</rowOff>
    </to>
    <pic>
      <nvPicPr>
        <cNvPr id="99" name="Imagem 9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xfrm xmlns:a="http://schemas.openxmlformats.org/drawingml/2006/main">
          <a:off x="6179497" y="17919463"/>
          <a:ext cx="25198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15668</colOff>
      <row>40</row>
      <rowOff>22966</rowOff>
    </from>
    <to>
      <col>25</col>
      <colOff>1535</colOff>
      <row>40</row>
      <rowOff>181366</rowOff>
    </to>
    <pic>
      <nvPicPr>
        <cNvPr id="100" name="Imagem 9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xfrm xmlns:a="http://schemas.openxmlformats.org/drawingml/2006/main">
          <a:off x="7147988" y="18135706"/>
          <a:ext cx="26780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11900</colOff>
      <row>41</row>
      <rowOff>20352</rowOff>
    </from>
    <to>
      <col>18</col>
      <colOff>273416</colOff>
      <row>41</row>
      <rowOff>178752</rowOff>
    </to>
    <pic>
      <nvPicPr>
        <cNvPr id="101" name="Imagem 10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xfrm xmlns:a="http://schemas.openxmlformats.org/drawingml/2006/main">
          <a:off x="6168860" y="18338832"/>
          <a:ext cx="261516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15939</colOff>
      <row>41</row>
      <rowOff>15856</rowOff>
    </from>
    <to>
      <col>24</col>
      <colOff>269951</colOff>
      <row>41</row>
      <rowOff>174256</rowOff>
    </to>
    <pic>
      <nvPicPr>
        <cNvPr id="102" name="Imagem 10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xfrm xmlns:a="http://schemas.openxmlformats.org/drawingml/2006/main">
          <a:off x="7148259" y="18334336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16953</colOff>
      <row>39</row>
      <rowOff>12248</rowOff>
    </from>
    <to>
      <col>24</col>
      <colOff>268937</colOff>
      <row>39</row>
      <rowOff>170648</rowOff>
    </to>
    <pic>
      <nvPicPr>
        <cNvPr id="103" name="Imagem 10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xfrm xmlns:a="http://schemas.openxmlformats.org/drawingml/2006/main">
          <a:off x="7149273" y="17919248"/>
          <a:ext cx="251984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10906</colOff>
      <row>42</row>
      <rowOff>25878</rowOff>
    </from>
    <to>
      <col>18</col>
      <colOff>262888</colOff>
      <row>42</row>
      <rowOff>184278</rowOff>
    </to>
    <pic>
      <nvPicPr>
        <cNvPr id="104" name="Imagem 10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xfrm xmlns:a="http://schemas.openxmlformats.org/drawingml/2006/main">
          <a:off x="6167866" y="18550098"/>
          <a:ext cx="25198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12033</colOff>
      <row>40</row>
      <rowOff>19879</rowOff>
    </from>
    <to>
      <col>18</col>
      <colOff>266045</colOff>
      <row>40</row>
      <rowOff>178279</rowOff>
    </to>
    <pic>
      <nvPicPr>
        <cNvPr id="105" name="Imagem 10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xfrm xmlns:a="http://schemas.openxmlformats.org/drawingml/2006/main">
          <a:off x="6168993" y="18132619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13976</colOff>
      <row>46</row>
      <rowOff>10637</rowOff>
    </from>
    <to>
      <col>5</col>
      <colOff>271403</colOff>
      <row>46</row>
      <rowOff>169037</rowOff>
    </to>
    <pic>
      <nvPicPr>
        <cNvPr id="106" name="Imagem 10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xfrm xmlns:a="http://schemas.openxmlformats.org/drawingml/2006/main">
          <a:off x="6170936" y="19525457"/>
          <a:ext cx="25742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13976</colOff>
      <row>45</row>
      <rowOff>12248</rowOff>
    </from>
    <to>
      <col>5</col>
      <colOff>271403</colOff>
      <row>45</row>
      <rowOff>170648</rowOff>
    </to>
    <pic>
      <nvPicPr>
        <cNvPr id="107" name="Imagem 10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xfrm xmlns:a="http://schemas.openxmlformats.org/drawingml/2006/main">
          <a:off x="6170936" y="19321328"/>
          <a:ext cx="25742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20484</colOff>
      <row>46</row>
      <rowOff>23100</rowOff>
    </from>
    <to>
      <col>11</col>
      <colOff>274496</colOff>
      <row>46</row>
      <rowOff>181500</rowOff>
    </to>
    <pic>
      <nvPicPr>
        <cNvPr id="108" name="Imagem 10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xfrm xmlns:a="http://schemas.openxmlformats.org/drawingml/2006/main">
          <a:off x="7152804" y="19537920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11899</colOff>
      <row>49</row>
      <rowOff>18526</rowOff>
    </from>
    <to>
      <col>11</col>
      <colOff>273416</colOff>
      <row>49</row>
      <rowOff>176926</rowOff>
    </to>
    <pic>
      <nvPicPr>
        <cNvPr id="109" name="Imagem 10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xfrm xmlns:a="http://schemas.openxmlformats.org/drawingml/2006/main">
          <a:off x="7144219" y="20150566"/>
          <a:ext cx="26151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9965</colOff>
      <row>47</row>
      <rowOff>11901</rowOff>
    </from>
    <to>
      <col>5</col>
      <colOff>277394</colOff>
      <row>47</row>
      <rowOff>170301</rowOff>
    </to>
    <pic>
      <nvPicPr>
        <cNvPr id="110" name="Imagem 10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xfrm xmlns:a="http://schemas.openxmlformats.org/drawingml/2006/main">
          <a:off x="6166925" y="19732461"/>
          <a:ext cx="267429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9965</colOff>
      <row>49</row>
      <rowOff>11220</rowOff>
    </from>
    <to>
      <col>5</col>
      <colOff>272021</colOff>
      <row>49</row>
      <rowOff>169620</rowOff>
    </to>
    <pic>
      <nvPicPr>
        <cNvPr id="111" name="Imagem 1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xfrm xmlns:a="http://schemas.openxmlformats.org/drawingml/2006/main">
          <a:off x="6166925" y="20143260"/>
          <a:ext cx="262056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9965</colOff>
      <row>48</row>
      <rowOff>11220</rowOff>
    </from>
    <to>
      <col>5</col>
      <colOff>272022</colOff>
      <row>48</row>
      <rowOff>169620</rowOff>
    </to>
    <pic>
      <nvPicPr>
        <cNvPr id="112" name="Imagem 1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xfrm xmlns:a="http://schemas.openxmlformats.org/drawingml/2006/main">
          <a:off x="6166925" y="19937520"/>
          <a:ext cx="262057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14648</colOff>
      <row>47</row>
      <rowOff>10638</rowOff>
    </from>
    <to>
      <col>11</col>
      <colOff>268660</colOff>
      <row>47</row>
      <rowOff>169038</rowOff>
    </to>
    <pic>
      <nvPicPr>
        <cNvPr id="113" name="Imagem 1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xfrm xmlns:a="http://schemas.openxmlformats.org/drawingml/2006/main">
          <a:off x="7146968" y="19731198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14648</colOff>
      <row>50</row>
      <rowOff>12033</rowOff>
    </from>
    <to>
      <col>11</col>
      <colOff>268660</colOff>
      <row>50</row>
      <rowOff>170433</rowOff>
    </to>
    <pic>
      <nvPicPr>
        <cNvPr id="114" name="Imagem 1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xfrm xmlns:a="http://schemas.openxmlformats.org/drawingml/2006/main">
          <a:off x="7146968" y="20349813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16044</colOff>
      <row>46</row>
      <rowOff>18660</rowOff>
    </from>
    <to>
      <col>18</col>
      <colOff>270056</colOff>
      <row>46</row>
      <rowOff>177060</rowOff>
    </to>
    <pic>
      <nvPicPr>
        <cNvPr id="115" name="Imagem 1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xfrm xmlns:a="http://schemas.openxmlformats.org/drawingml/2006/main">
          <a:off x="6173004" y="21347040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16259</colOff>
      <row>45</row>
      <rowOff>18875</rowOff>
    </from>
    <to>
      <col>24</col>
      <colOff>270271</colOff>
      <row>45</row>
      <rowOff>177275</rowOff>
    </to>
    <pic>
      <nvPicPr>
        <cNvPr id="116" name="Imagem 1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xfrm xmlns:a="http://schemas.openxmlformats.org/drawingml/2006/main">
          <a:off x="7148579" y="21141515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12248</colOff>
      <row>46</row>
      <rowOff>16474</rowOff>
    </from>
    <to>
      <col>24</col>
      <colOff>266260</colOff>
      <row>46</row>
      <rowOff>174874</rowOff>
    </to>
    <pic>
      <nvPicPr>
        <cNvPr id="117" name="Imagem 1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xfrm xmlns:a="http://schemas.openxmlformats.org/drawingml/2006/main">
          <a:off x="7144568" y="21344854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14648</colOff>
      <row>45</row>
      <rowOff>16342</rowOff>
    </from>
    <to>
      <col>18</col>
      <colOff>270248</colOff>
      <row>45</row>
      <rowOff>169922</rowOff>
    </to>
    <pic>
      <nvPicPr>
        <cNvPr id="118" name="Imagem 1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xfrm xmlns:a="http://schemas.openxmlformats.org/drawingml/2006/main">
          <a:off x="6171608" y="21138982"/>
          <a:ext cx="255600" cy="153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20270</colOff>
      <row>50</row>
      <rowOff>25289</rowOff>
    </from>
    <to>
      <col>24</col>
      <colOff>274280</colOff>
      <row>50</row>
      <rowOff>183689</rowOff>
    </to>
    <pic>
      <nvPicPr>
        <cNvPr id="119" name="Imagem 1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xfrm xmlns:a="http://schemas.openxmlformats.org/drawingml/2006/main">
          <a:off x="7152590" y="22176629"/>
          <a:ext cx="25401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22885</colOff>
      <row>47</row>
      <rowOff>17264</rowOff>
    </from>
    <to>
      <col>24</col>
      <colOff>276897</colOff>
      <row>47</row>
      <rowOff>175664</rowOff>
    </to>
    <pic>
      <nvPicPr>
        <cNvPr id="120" name="Imagem 1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xfrm xmlns:a="http://schemas.openxmlformats.org/drawingml/2006/main">
          <a:off x="7155205" y="21551384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8237</colOff>
      <row>49</row>
      <rowOff>13727</rowOff>
    </from>
    <to>
      <col>24</col>
      <colOff>263837</colOff>
      <row>49</row>
      <rowOff>167307</rowOff>
    </to>
    <pic>
      <nvPicPr>
        <cNvPr id="121" name="Imagem 1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xfrm xmlns:a="http://schemas.openxmlformats.org/drawingml/2006/main">
          <a:off x="7140557" y="21959327"/>
          <a:ext cx="255600" cy="153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16689</colOff>
      <row>47</row>
      <rowOff>16690</rowOff>
    </from>
    <to>
      <col>18</col>
      <colOff>270701</colOff>
      <row>47</row>
      <rowOff>175090</rowOff>
    </to>
    <pic>
      <nvPicPr>
        <cNvPr id="122" name="Imagem 1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xfrm xmlns:a="http://schemas.openxmlformats.org/drawingml/2006/main">
          <a:off x="6173649" y="21550810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18659</colOff>
      <row>49</row>
      <rowOff>23101</rowOff>
    </from>
    <to>
      <col>18</col>
      <colOff>272671</colOff>
      <row>49</row>
      <rowOff>181501</rowOff>
    </to>
    <pic>
      <nvPicPr>
        <cNvPr id="123" name="Imagem 1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xfrm xmlns:a="http://schemas.openxmlformats.org/drawingml/2006/main">
          <a:off x="6175619" y="21968701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14648</colOff>
      <row>48</row>
      <rowOff>19089</rowOff>
    </from>
    <to>
      <col>18</col>
      <colOff>268660</colOff>
      <row>48</row>
      <rowOff>177489</rowOff>
    </to>
    <pic>
      <nvPicPr>
        <cNvPr id="124" name="Imagem 1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xfrm xmlns:a="http://schemas.openxmlformats.org/drawingml/2006/main">
          <a:off x="6171608" y="21758949"/>
          <a:ext cx="254012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18874</colOff>
      <row>48</row>
      <rowOff>18527</rowOff>
    </from>
    <to>
      <col>24</col>
      <colOff>274474</colOff>
      <row>48</row>
      <rowOff>172107</rowOff>
    </to>
    <pic>
      <nvPicPr>
        <cNvPr id="125" name="Imagem 1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xfrm xmlns:a="http://schemas.openxmlformats.org/drawingml/2006/main">
          <a:off x="7151194" y="21758387"/>
          <a:ext cx="255600" cy="153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18659</colOff>
      <row>50</row>
      <rowOff>22538</rowOff>
    </from>
    <to>
      <col>18</col>
      <colOff>274259</colOff>
      <row>50</row>
      <rowOff>176118</rowOff>
    </to>
    <pic>
      <nvPicPr>
        <cNvPr id="126" name="Imagem 1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xfrm xmlns:a="http://schemas.openxmlformats.org/drawingml/2006/main">
          <a:off x="6175619" y="22173878"/>
          <a:ext cx="255600" cy="153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17204</colOff>
      <row>37</row>
      <rowOff>0</rowOff>
    </from>
    <to>
      <col>24</col>
      <colOff>268686</colOff>
      <row>37</row>
      <rowOff>160034</rowOff>
    </to>
    <pic>
      <nvPicPr>
        <cNvPr id="127" name="Imagem 1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6"/>
        <a:stretch xmlns:a="http://schemas.openxmlformats.org/drawingml/2006/main">
          <a:fillRect/>
        </a:stretch>
      </blipFill>
      <spPr>
        <a:xfrm xmlns:a="http://schemas.openxmlformats.org/drawingml/2006/main">
          <a:off x="7149524" y="17495520"/>
          <a:ext cx="251482" cy="1600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15240</colOff>
      <row>7</row>
      <rowOff>30480</rowOff>
    </from>
    <to>
      <col>5</col>
      <colOff>270840</colOff>
      <row>7</row>
      <rowOff>188880</rowOff>
    </to>
    <pic>
      <nvPicPr>
        <cNvPr id="129" name="Imagem 128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xfrm xmlns:a="http://schemas.openxmlformats.org/drawingml/2006/main">
          <a:off x="4008120" y="1173480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15240</colOff>
      <row>9</row>
      <rowOff>30480</rowOff>
    </from>
    <to>
      <col>5</col>
      <colOff>270840</colOff>
      <row>9</row>
      <rowOff>188880</rowOff>
    </to>
    <pic>
      <nvPicPr>
        <cNvPr id="130" name="Imagem 129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xfrm xmlns:a="http://schemas.openxmlformats.org/drawingml/2006/main">
          <a:off x="4008120" y="1584960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15240</colOff>
      <row>6</row>
      <rowOff>30480</rowOff>
    </from>
    <to>
      <col>11</col>
      <colOff>270840</colOff>
      <row>6</row>
      <rowOff>188880</rowOff>
    </to>
    <pic>
      <nvPicPr>
        <cNvPr id="131" name="Imagem 130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xfrm xmlns:a="http://schemas.openxmlformats.org/drawingml/2006/main">
          <a:off x="4983480" y="967740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20162</colOff>
      <row>10</row>
      <rowOff>22859</rowOff>
    </from>
    <to>
      <col>18</col>
      <colOff>275762</colOff>
      <row>10</row>
      <rowOff>181259</rowOff>
    </to>
    <pic>
      <nvPicPr>
        <cNvPr id="133" name="Imagem 13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xfrm xmlns:a="http://schemas.openxmlformats.org/drawingml/2006/main">
          <a:off x="10414893" y="1788597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19284</colOff>
      <row>5</row>
      <rowOff>38099</rowOff>
    </from>
    <to>
      <col>24</col>
      <colOff>274884</colOff>
      <row>5</row>
      <rowOff>196499</rowOff>
    </to>
    <pic>
      <nvPicPr>
        <cNvPr id="134" name="Imagem 13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xfrm xmlns:a="http://schemas.openxmlformats.org/drawingml/2006/main">
          <a:off x="11355499" y="770791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19284</colOff>
      <row>7</row>
      <rowOff>30479</rowOff>
    </from>
    <to>
      <col>24</col>
      <colOff>274884</colOff>
      <row>7</row>
      <rowOff>188879</rowOff>
    </to>
    <pic>
      <nvPicPr>
        <cNvPr id="135" name="Imagem 134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xfrm xmlns:a="http://schemas.openxmlformats.org/drawingml/2006/main">
          <a:off x="11355499" y="1173479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17554</colOff>
      <row>15</row>
      <rowOff>30480</rowOff>
    </from>
    <to>
      <col>18</col>
      <colOff>273154</colOff>
      <row>15</row>
      <rowOff>188880</rowOff>
    </to>
    <pic>
      <nvPicPr>
        <cNvPr id="137" name="Imagem 136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xfrm xmlns:a="http://schemas.openxmlformats.org/drawingml/2006/main">
          <a:off x="10412285" y="2705363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17554</colOff>
      <row>17</row>
      <rowOff>30480</rowOff>
    </from>
    <to>
      <col>18</col>
      <colOff>273154</colOff>
      <row>17</row>
      <rowOff>188880</rowOff>
    </to>
    <pic>
      <nvPicPr>
        <cNvPr id="138" name="Imagem 137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xfrm xmlns:a="http://schemas.openxmlformats.org/drawingml/2006/main">
          <a:off x="10412285" y="3115266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15240</colOff>
      <row>14</row>
      <rowOff>30480</rowOff>
    </from>
    <to>
      <col>24</col>
      <colOff>270840</colOff>
      <row>14</row>
      <rowOff>188880</rowOff>
    </to>
    <pic>
      <nvPicPr>
        <cNvPr id="139" name="Imagem 138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xfrm xmlns:a="http://schemas.openxmlformats.org/drawingml/2006/main">
          <a:off x="11346180" y="2491740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18131</colOff>
      <row>22</row>
      <rowOff>31006</rowOff>
    </from>
    <to>
      <col>18</col>
      <colOff>273731</colOff>
      <row>22</row>
      <rowOff>189406</rowOff>
    </to>
    <pic>
      <nvPicPr>
        <cNvPr id="141" name="Imagem 140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xfrm xmlns:a="http://schemas.openxmlformats.org/drawingml/2006/main">
          <a:off x="10412862" y="4024937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18131</colOff>
      <row>24</row>
      <rowOff>25751</rowOff>
    </from>
    <to>
      <col>24</col>
      <colOff>273731</colOff>
      <row>24</row>
      <rowOff>184151</rowOff>
    </to>
    <pic>
      <nvPicPr>
        <cNvPr id="142" name="Imagem 14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xfrm xmlns:a="http://schemas.openxmlformats.org/drawingml/2006/main">
          <a:off x="11400834" y="4429585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18132</colOff>
      <row>25</row>
      <rowOff>36262</rowOff>
    </from>
    <to>
      <col>24</col>
      <colOff>273732</colOff>
      <row>25</row>
      <rowOff>194662</rowOff>
    </to>
    <pic>
      <nvPicPr>
        <cNvPr id="143" name="Imagem 14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xfrm xmlns:a="http://schemas.openxmlformats.org/drawingml/2006/main">
          <a:off x="11400835" y="4645048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13252</colOff>
      <row>38</row>
      <rowOff>26505</rowOff>
    </from>
    <to>
      <col>5</col>
      <colOff>268852</colOff>
      <row>38</row>
      <rowOff>184905</rowOff>
    </to>
    <pic>
      <nvPicPr>
        <cNvPr id="145" name="Imagem 144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xfrm xmlns:a="http://schemas.openxmlformats.org/drawingml/2006/main">
          <a:off x="4015409" y="7070035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13253</colOff>
      <row>39</row>
      <rowOff>19878</rowOff>
    </from>
    <to>
      <col>11</col>
      <colOff>268853</colOff>
      <row>39</row>
      <rowOff>178278</rowOff>
    </to>
    <pic>
      <nvPicPr>
        <cNvPr id="146" name="Imagem 145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xfrm xmlns:a="http://schemas.openxmlformats.org/drawingml/2006/main">
          <a:off x="5002696" y="7268817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19879</colOff>
      <row>42</row>
      <rowOff>26505</rowOff>
    </from>
    <to>
      <col>11</col>
      <colOff>275479</colOff>
      <row>42</row>
      <rowOff>184905</rowOff>
    </to>
    <pic>
      <nvPicPr>
        <cNvPr id="147" name="Imagem 146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xfrm xmlns:a="http://schemas.openxmlformats.org/drawingml/2006/main">
          <a:off x="5009322" y="7891670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13253</colOff>
      <row>50</row>
      <rowOff>19878</rowOff>
    </from>
    <to>
      <col>5</col>
      <colOff>268853</colOff>
      <row>50</row>
      <rowOff>178278</rowOff>
    </to>
    <pic>
      <nvPicPr>
        <cNvPr id="149" name="Imagem 148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xfrm xmlns:a="http://schemas.openxmlformats.org/drawingml/2006/main">
          <a:off x="4015410" y="9409043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19880</colOff>
      <row>45</row>
      <rowOff>39755</rowOff>
    </from>
    <to>
      <col>11</col>
      <colOff>275480</colOff>
      <row>45</row>
      <rowOff>198155</rowOff>
    </to>
    <pic>
      <nvPicPr>
        <cNvPr id="150" name="Imagem 149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xfrm xmlns:a="http://schemas.openxmlformats.org/drawingml/2006/main">
          <a:off x="5009323" y="8401877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13254</colOff>
      <row>48</row>
      <rowOff>26504</rowOff>
    </from>
    <to>
      <col>11</col>
      <colOff>268854</colOff>
      <row>48</row>
      <rowOff>184904</rowOff>
    </to>
    <pic>
      <nvPicPr>
        <cNvPr id="151" name="Imagem 150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xfrm xmlns:a="http://schemas.openxmlformats.org/drawingml/2006/main">
          <a:off x="5002697" y="9004852"/>
          <a:ext cx="255600" cy="1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18</col>
      <colOff>205740</colOff>
      <row>3</row>
      <rowOff>152401</rowOff>
    </from>
    <to>
      <col>19</col>
      <colOff>114300</colOff>
      <row>12</row>
      <rowOff>114300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82740" y="784861"/>
          <a:ext cx="975360" cy="19507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P51"/>
  <sheetViews>
    <sheetView showGridLines="0" workbookViewId="0">
      <selection activeCell="R10" sqref="R10"/>
    </sheetView>
  </sheetViews>
  <sheetFormatPr baseColWidth="8" defaultRowHeight="14.25"/>
  <cols>
    <col width="1" customWidth="1" min="1" max="1"/>
    <col width="0.75" customWidth="1" min="16" max="16"/>
  </cols>
  <sheetData>
    <row r="1">
      <c r="A1" s="19" t="n"/>
      <c r="B1" s="19" t="n"/>
      <c r="C1" s="124" t="inlineStr">
        <is>
          <t>TABELA CONVERTIDA PARA O HORÁRIO DO JAPÃO (JST - UTC+9)</t>
        </is>
      </c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6" customHeight="1"/>
    <row r="20" ht="6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0.25" customHeight="1">
      <c r="A21" s="19" t="n"/>
      <c r="B21" s="107" t="inlineStr">
        <is>
          <t>Como usar a planilha?</t>
        </is>
      </c>
      <c r="P21" s="19" t="n"/>
    </row>
    <row r="22" ht="3.6" customHeight="1">
      <c r="A22" s="19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9" t="n"/>
    </row>
    <row r="23" ht="6" customHeight="1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>
      <c r="A24" s="19" t="n"/>
      <c r="B24" s="108" t="inlineStr">
        <is>
          <t>1. Acesse a aba "Repescagem" e selecione as 6 seleções classificadas nessa fase. Esteja atento a cada jogo da repescagem para selecionar corretamente as seleções classificadas.</t>
        </is>
      </c>
      <c r="P24" s="19" t="n"/>
    </row>
    <row r="25">
      <c r="A25" s="19" t="n"/>
      <c r="P25" s="19" t="n"/>
    </row>
    <row r="26">
      <c r="A26" s="19" t="n"/>
      <c r="P26" s="19" t="n"/>
    </row>
    <row r="27" ht="6" customHeight="1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</row>
    <row r="28">
      <c r="A28" s="19" t="n"/>
      <c r="B28" s="108" t="inlineStr">
        <is>
          <t>2. Acesse a aba "Grupos". Nessa aba, insira os placares das 72 partidas da fase de grupos conforme forem ocorrendo. Insira apenas os placares e ajuste data e horário, se necessário. Se preferir, você poderá imprimir a tabela de grupos para preencher os jogos a mão.
Obs: Após a definição da repescagem, atualizaremos a planilha com as bandeiras das seleções classificadas.</t>
        </is>
      </c>
      <c r="P28" s="19" t="n"/>
    </row>
    <row r="29">
      <c r="A29" s="19" t="n"/>
      <c r="P29" s="19" t="n"/>
    </row>
    <row r="30">
      <c r="A30" s="19" t="n"/>
      <c r="P30" s="19" t="n"/>
    </row>
    <row r="31">
      <c r="A31" s="19" t="n"/>
      <c r="P31" s="19" t="n"/>
    </row>
    <row r="32" ht="6" customHeight="1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>
      <c r="A33" s="19" t="n"/>
      <c r="B33" s="108" t="inlineStr">
        <is>
          <t>3. Acesse a aba "Mata-mata". Preecha os nomes das 32 seleções classificadas para essa etapa e os respectivos placares. Se preferir, você poderá imprimir a tabela de mata-mata para preencher os jogos a mão.</t>
        </is>
      </c>
      <c r="P33" s="19" t="n"/>
    </row>
    <row r="34" ht="17.45" customHeight="1">
      <c r="A34" s="19" t="n"/>
      <c r="P34" s="19" t="n"/>
    </row>
    <row r="35" ht="6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</row>
    <row r="36" ht="20.25" customHeight="1">
      <c r="A36" s="19" t="n"/>
      <c r="B36" s="107" t="inlineStr">
        <is>
          <t>Avisos importantes</t>
        </is>
      </c>
      <c r="P36" s="19" t="n"/>
    </row>
    <row r="37" ht="3.6" customHeight="1">
      <c r="A37" s="19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9" t="n"/>
    </row>
    <row r="38" ht="6" customHeight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</row>
    <row r="39">
      <c r="A39" s="19" t="n"/>
      <c r="B39" s="105" t="inlineStr">
        <is>
          <t>É proibida a venda e a distribuição não autorizada desta planilha. Qualquer infração de direitos autorais será respondida judicialmente.</t>
        </is>
      </c>
      <c r="P39" s="19" t="n"/>
    </row>
    <row r="40" ht="6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>
      <c r="A41" s="19" t="n"/>
      <c r="B41" s="105" t="inlineStr">
        <is>
          <t>Datas e horários de jogos podem sofrer alterações. Ajuste as datas e horários conforme cada caso.</t>
        </is>
      </c>
      <c r="P41" s="19" t="n"/>
    </row>
    <row r="42" ht="6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>
      <c r="A43" s="19" t="n"/>
      <c r="B43" s="105" t="inlineStr">
        <is>
          <t>É de responsabilidade do usuário possuir conhecimentos básicos em Excel para o uso da planilha (inserir placares nas células e conferir resultados).</t>
        </is>
      </c>
      <c r="P43" s="19" t="n"/>
    </row>
    <row r="44" ht="6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>
      <c r="A45" s="19" t="n"/>
      <c r="B45" s="105" t="inlineStr">
        <is>
          <t>A planilha já está configurada para impressão para formato A4.</t>
        </is>
      </c>
      <c r="P45" s="19" t="n"/>
    </row>
    <row r="46" ht="6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</row>
    <row r="47">
      <c r="A47" s="19" t="n"/>
      <c r="B47" s="106" t="inlineStr">
        <is>
          <t>Esta é uma versão gratuita da planilha, disponibilizada exclusivamente para consulta e impressão.
Por questões de direitos autorais, a estrutura está protegida e não fornecemos a senha de desbloqueio.</t>
        </is>
      </c>
      <c r="P47" s="19" t="n"/>
    </row>
    <row r="48">
      <c r="A48" s="19" t="n"/>
      <c r="P48" s="19" t="n"/>
    </row>
    <row r="49" ht="13.9" customHeight="1">
      <c r="A49" s="19" t="n"/>
      <c r="B49" s="106" t="inlineStr">
        <is>
          <t>Se você deseja editar livremente, automatizar cálculos e aproveitar todos os recursos,
conheça a versão completa clicando no banner acima.</t>
        </is>
      </c>
      <c r="P49" s="19" t="n"/>
    </row>
    <row r="50">
      <c r="A50" s="19" t="n"/>
      <c r="P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TamEqDzJkChBh/xPSODGeQ==" formatRows="1" sort="1" spinCount="100000" hashValue="zJg7udQ3daRFGJ2zwPcOF6ya1bCSkqS85/wEtDKM2W+NgdglUN4tZglVsyO4TSZEeHaQ+2/QKhl/ONtKOeotrQ=="/>
  <mergeCells count="11">
    <mergeCell ref="B41:O41"/>
    <mergeCell ref="B21:O21"/>
    <mergeCell ref="B49:O50"/>
    <mergeCell ref="B47:O48"/>
    <mergeCell ref="B43:O43"/>
    <mergeCell ref="B39:O39"/>
    <mergeCell ref="B24:O26"/>
    <mergeCell ref="B33:O34"/>
    <mergeCell ref="B45:O45"/>
    <mergeCell ref="B28:O31"/>
    <mergeCell ref="B36:O36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B2:D16"/>
  <sheetViews>
    <sheetView showGridLines="0" workbookViewId="0">
      <selection activeCell="D9" sqref="D9"/>
    </sheetView>
  </sheetViews>
  <sheetFormatPr baseColWidth="8" defaultColWidth="8.75" defaultRowHeight="15"/>
  <cols>
    <col width="2.125" customWidth="1" style="1" min="1" max="1"/>
    <col width="12.25" customWidth="1" style="1" min="2" max="2"/>
    <col width="19.25" customWidth="1" style="1" min="3" max="3"/>
    <col width="22.25" customWidth="1" style="1" min="4" max="4"/>
    <col width="8.75" customWidth="1" style="1" min="5" max="16384"/>
  </cols>
  <sheetData>
    <row r="1" ht="15.75" customHeight="1" thickBot="1"/>
    <row r="2" ht="22.9" customHeight="1" thickBot="1">
      <c r="B2" s="125" t="inlineStr">
        <is>
          <t>Selecione os Classificados da Repescagem</t>
        </is>
      </c>
      <c r="C2" s="126" t="n"/>
      <c r="D2" s="127" t="n"/>
    </row>
    <row r="3" ht="3.6" customHeight="1">
      <c r="B3" s="2" t="n"/>
      <c r="C3" s="3" t="n"/>
      <c r="D3" s="4" t="n"/>
    </row>
    <row r="4" ht="16.15" customHeight="1">
      <c r="B4" s="5" t="inlineStr">
        <is>
          <t>Grupo B</t>
        </is>
      </c>
      <c r="C4" s="6" t="inlineStr">
        <is>
          <t>Europa 1</t>
        </is>
      </c>
      <c r="D4" s="23" t="inlineStr">
        <is>
          <t>Bósnia e Herzegovina</t>
        </is>
      </c>
    </row>
    <row r="5" ht="16.15" customHeight="1">
      <c r="B5" s="7" t="inlineStr">
        <is>
          <t>Grupo F</t>
        </is>
      </c>
      <c r="C5" s="8" t="inlineStr">
        <is>
          <t>Europa 2</t>
        </is>
      </c>
      <c r="D5" s="24" t="inlineStr">
        <is>
          <t>Suécia</t>
        </is>
      </c>
    </row>
    <row r="6" ht="16.15" customHeight="1">
      <c r="B6" s="7" t="inlineStr">
        <is>
          <t>Grupo D</t>
        </is>
      </c>
      <c r="C6" s="8" t="inlineStr">
        <is>
          <t>Europa 3</t>
        </is>
      </c>
      <c r="D6" s="24" t="inlineStr">
        <is>
          <t>Turquia</t>
        </is>
      </c>
    </row>
    <row r="7" ht="16.15" customHeight="1">
      <c r="B7" s="7" t="inlineStr">
        <is>
          <t>Grupo A</t>
        </is>
      </c>
      <c r="C7" s="8" t="inlineStr">
        <is>
          <t>Europa 4</t>
        </is>
      </c>
      <c r="D7" s="24" t="inlineStr">
        <is>
          <t>República Tcheca</t>
        </is>
      </c>
    </row>
    <row r="8" ht="16.15" customHeight="1">
      <c r="B8" s="7" t="inlineStr">
        <is>
          <t>Grupo K</t>
        </is>
      </c>
      <c r="C8" s="8" t="inlineStr">
        <is>
          <t>Intercontinental 1</t>
        </is>
      </c>
      <c r="D8" s="24" t="inlineStr">
        <is>
          <t>RD do Congo</t>
        </is>
      </c>
    </row>
    <row r="9" ht="16.15" customHeight="1" thickBot="1">
      <c r="B9" s="9" t="inlineStr">
        <is>
          <t>Grupo I</t>
        </is>
      </c>
      <c r="C9" s="10" t="inlineStr">
        <is>
          <t>Intercontinental 2</t>
        </is>
      </c>
      <c r="D9" s="25" t="inlineStr">
        <is>
          <t>Iraque</t>
        </is>
      </c>
    </row>
    <row r="11" ht="14.45" customHeight="1">
      <c r="B11" s="112" t="inlineStr">
        <is>
          <t>Instruções
Após a definição da repescagem, selecione cada seleção classificada.
Não deixe nenhum grupo em branco. 
Esteja atento ao nome correto das seleções que foram classificadas.</t>
        </is>
      </c>
    </row>
    <row r="12"/>
    <row r="13"/>
    <row r="14"/>
    <row r="15"/>
    <row r="16"/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0M2rD7L+DypAe4dSCBKIcg==" formatRows="1" sort="1" spinCount="100000" hashValue="GNiTm30uh/XH9dwS4nJLCqqWpjFmzzGHXjbAsdNojSWZGdebLfmHwQXelvni7Xvz25T6q0kK8UR1o8wO8Pz4TA=="/>
  <mergeCells count="2">
    <mergeCell ref="B11:D16"/>
    <mergeCell ref="B2:D2"/>
  </mergeCells>
  <dataValidations count="6">
    <dataValidation sqref="D9" showDropDown="0" showInputMessage="1" showErrorMessage="1" allowBlank="1" type="list">
      <formula1>"Bolívia,Iraque,Suriname"</formula1>
    </dataValidation>
    <dataValidation sqref="D8" showDropDown="0" showInputMessage="1" showErrorMessage="1" allowBlank="1" type="list">
      <formula1>"Jamaica,Nova Caledônia,RD do Congo"</formula1>
    </dataValidation>
    <dataValidation sqref="D6" showDropDown="0" showInputMessage="1" showErrorMessage="1" allowBlank="0" type="list">
      <formula1>"Eslováquia,Kosovo,Romênia,Turquia"</formula1>
    </dataValidation>
    <dataValidation sqref="D5" showDropDown="0" showInputMessage="1" showErrorMessage="1" allowBlank="1" type="list">
      <formula1>"Albânia,Polônia,Suécia,Ucrânia "</formula1>
    </dataValidation>
    <dataValidation sqref="D4" showDropDown="0" showInputMessage="1" showErrorMessage="1" allowBlank="1" type="list">
      <formula1>"Itália,Irlanda do N.,Gales,Bósnia e Herzegovina"</formula1>
    </dataValidation>
    <dataValidation sqref="D7" showDropDown="0" showInputMessage="1" showErrorMessage="1" allowBlank="1" type="list">
      <formula1>"Dinamarca,Macedônia do N.,Irlanda,República Tcheca"</formula1>
    </dataValidation>
  </dataValidation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 codeName="Planilha3">
    <outlinePr summaryBelow="1" summaryRight="1"/>
    <pageSetUpPr autoPageBreaks="0" fitToPage="1"/>
  </sheetPr>
  <dimension ref="A1:AC52"/>
  <sheetViews>
    <sheetView showGridLines="0" tabSelected="1" zoomScaleNormal="100" zoomScaleSheetLayoutView="70" workbookViewId="0">
      <selection activeCell="C6" sqref="C6"/>
    </sheetView>
  </sheetViews>
  <sheetFormatPr baseColWidth="8" defaultColWidth="8.75" defaultRowHeight="15.75"/>
  <cols>
    <col width="8.75" customWidth="1" style="29" min="1" max="1"/>
    <col width="1" customWidth="1" style="29" min="2" max="2"/>
    <col width="19" customWidth="1" style="29" min="3" max="3"/>
    <col width="23" customWidth="1" style="49" min="4" max="4"/>
    <col width="0.625" customWidth="1" style="29" min="5" max="5"/>
    <col width="3.75" customWidth="1" style="29" min="6" max="6"/>
    <col width="0.625" customWidth="1" style="29" min="7" max="7"/>
    <col width="3" customWidth="1" style="29" min="8" max="8"/>
    <col width="1.875" customWidth="1" style="29" min="9" max="9"/>
    <col width="3" customWidth="1" style="29" min="10" max="10"/>
    <col width="0.625" customWidth="1" style="29" min="11" max="11"/>
    <col width="3.75" customWidth="1" style="29" min="12" max="12"/>
    <col width="0.625" customWidth="1" style="29" min="13" max="13"/>
    <col width="23" customWidth="1" style="50" min="14" max="14"/>
    <col width="0.75" customWidth="1" style="29" min="15" max="15"/>
    <col width="19" customWidth="1" style="29" min="16" max="16"/>
    <col width="23" customWidth="1" style="29" min="17" max="17"/>
    <col width="0.625" customWidth="1" style="29" min="18" max="18"/>
    <col width="3.75" customWidth="1" style="29" min="19" max="19"/>
    <col width="0.625" customWidth="1" style="29" min="20" max="20"/>
    <col width="3" customWidth="1" style="29" min="21" max="21"/>
    <col width="1.875" customWidth="1" style="29" min="22" max="22"/>
    <col width="3" customWidth="1" style="29" min="23" max="23"/>
    <col width="0.625" customWidth="1" style="29" min="24" max="24"/>
    <col width="3.75" customWidth="1" style="29" min="25" max="25"/>
    <col width="0.625" customWidth="1" style="29" min="26" max="26"/>
    <col width="23" customWidth="1" style="29" min="27" max="27"/>
    <col width="1" customWidth="1" style="29" min="28" max="28"/>
    <col width="8.75" customWidth="1" style="29" min="29" max="16384"/>
  </cols>
  <sheetData>
    <row r="1" ht="3.6" customHeight="1">
      <c r="A1" s="26" t="n"/>
      <c r="B1" s="26" t="n"/>
      <c r="C1" s="26" t="n"/>
      <c r="D1" s="27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8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</row>
    <row r="2" ht="30" customHeight="1">
      <c r="A2" s="26" t="n"/>
      <c r="B2" s="26" t="n"/>
      <c r="C2" s="101" t="inlineStr">
        <is>
          <t>COPA DO MUNDO 2026 - FASE DE GRUPOS</t>
        </is>
      </c>
      <c r="AB2" s="26" t="n"/>
      <c r="AC2" s="26" t="n"/>
    </row>
    <row r="3" ht="2.45" customHeight="1">
      <c r="A3" s="26" t="n"/>
      <c r="B3" s="26" t="n"/>
      <c r="C3" s="30" t="n"/>
      <c r="D3" s="31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2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26" t="n"/>
      <c r="AC3" s="26" t="n"/>
    </row>
    <row r="4" ht="3.6" customHeight="1" thickBot="1">
      <c r="A4" s="26" t="n"/>
      <c r="B4" s="26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</row>
    <row r="5" ht="18" customHeight="1" thickBot="1">
      <c r="A5" s="26" t="n"/>
      <c r="B5" s="26" t="n"/>
      <c r="C5" s="128" t="inlineStr">
        <is>
          <t>GRUPO A</t>
        </is>
      </c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30" t="n"/>
      <c r="O5" s="26" t="n"/>
      <c r="P5" s="128" t="inlineStr">
        <is>
          <t>GRUPO B</t>
        </is>
      </c>
      <c r="Q5" s="129" t="n"/>
      <c r="R5" s="129" t="n"/>
      <c r="S5" s="129" t="n"/>
      <c r="T5" s="129" t="n"/>
      <c r="U5" s="129" t="n"/>
      <c r="V5" s="129" t="n"/>
      <c r="W5" s="129" t="n"/>
      <c r="X5" s="129" t="n"/>
      <c r="Y5" s="129" t="n"/>
      <c r="Z5" s="129" t="n"/>
      <c r="AA5" s="130" t="n"/>
      <c r="AB5" s="26" t="n"/>
      <c r="AC5" s="26" t="n"/>
    </row>
    <row r="6" ht="16.15" customHeight="1" thickTop="1">
      <c r="A6" s="26" t="n"/>
      <c r="B6" s="26" t="n"/>
      <c r="C6" s="20" t="inlineStr">
        <is>
          <t>12/06/2026 - 04:00</t>
        </is>
      </c>
      <c r="D6" s="34" t="inlineStr">
        <is>
          <t>México</t>
        </is>
      </c>
      <c r="E6" s="35" t="n"/>
      <c r="F6" s="36" t="n"/>
      <c r="G6" s="35" t="n"/>
      <c r="H6" s="13" t="n"/>
      <c r="I6" s="37" t="inlineStr">
        <is>
          <t>x</t>
        </is>
      </c>
      <c r="J6" s="13" t="n"/>
      <c r="K6" s="35" t="n"/>
      <c r="L6" s="36" t="n"/>
      <c r="M6" s="35" t="n"/>
      <c r="N6" s="38" t="inlineStr">
        <is>
          <t>África do Sul</t>
        </is>
      </c>
      <c r="O6" s="26" t="n"/>
      <c r="P6" s="20" t="inlineStr">
        <is>
          <t>13/06/2026 - 04:00</t>
        </is>
      </c>
      <c r="Q6" s="34" t="inlineStr">
        <is>
          <t>Canadá</t>
        </is>
      </c>
      <c r="R6" s="35" t="n"/>
      <c r="S6" s="36" t="n"/>
      <c r="T6" s="35" t="n"/>
      <c r="U6" s="13" t="n"/>
      <c r="V6" s="37" t="inlineStr">
        <is>
          <t>x</t>
        </is>
      </c>
      <c r="W6" s="13" t="n"/>
      <c r="X6" s="35" t="n"/>
      <c r="Y6" s="36" t="n"/>
      <c r="Z6" s="35" t="n"/>
      <c r="AA6" s="38">
        <f>IF(Repescagem!D4="","Europa 1",Repescagem!D4)</f>
        <v/>
      </c>
      <c r="AB6" s="26" t="n"/>
      <c r="AC6" s="26" t="n"/>
    </row>
    <row r="7" ht="16.15" customHeight="1">
      <c r="A7" s="26" t="n"/>
      <c r="B7" s="26" t="n"/>
      <c r="C7" s="21" t="inlineStr">
        <is>
          <t>12/06/2026 - 11:00</t>
        </is>
      </c>
      <c r="D7" s="39" t="inlineStr">
        <is>
          <t>Coréia do Sul</t>
        </is>
      </c>
      <c r="F7" s="40" t="n"/>
      <c r="H7" s="14" t="n"/>
      <c r="I7" s="41" t="inlineStr">
        <is>
          <t>x</t>
        </is>
      </c>
      <c r="J7" s="14" t="n"/>
      <c r="L7" s="40" t="n"/>
      <c r="N7" s="42">
        <f>IF(Repescagem!D7="","Europa 4",Repescagem!D7)</f>
        <v/>
      </c>
      <c r="O7" s="26" t="n"/>
      <c r="P7" s="21" t="inlineStr">
        <is>
          <t>14/06/2026 - 04:00</t>
        </is>
      </c>
      <c r="Q7" s="39" t="inlineStr">
        <is>
          <t>Catar</t>
        </is>
      </c>
      <c r="S7" s="40" t="n"/>
      <c r="U7" s="14" t="n"/>
      <c r="V7" s="41" t="inlineStr">
        <is>
          <t>x</t>
        </is>
      </c>
      <c r="W7" s="14" t="n"/>
      <c r="Y7" s="40" t="n"/>
      <c r="AA7" s="42" t="inlineStr">
        <is>
          <t>Suíça</t>
        </is>
      </c>
      <c r="AB7" s="26" t="n"/>
      <c r="AC7" s="26" t="n"/>
    </row>
    <row r="8" ht="16.15" customHeight="1">
      <c r="A8" s="26" t="n"/>
      <c r="B8" s="26" t="n"/>
      <c r="C8" s="21" t="inlineStr">
        <is>
          <t>19/06/2026 - 01:00</t>
        </is>
      </c>
      <c r="D8" s="39">
        <f>IF(Repescagem!D7="","Europa 4",Repescagem!D7)</f>
        <v/>
      </c>
      <c r="F8" s="40" t="n"/>
      <c r="H8" s="14" t="n"/>
      <c r="I8" s="41" t="inlineStr">
        <is>
          <t>x</t>
        </is>
      </c>
      <c r="J8" s="14" t="n"/>
      <c r="L8" s="40" t="n"/>
      <c r="N8" s="42" t="inlineStr">
        <is>
          <t>África do Sul</t>
        </is>
      </c>
      <c r="O8" s="26" t="n"/>
      <c r="P8" s="21" t="inlineStr">
        <is>
          <t>19/06/2026 - 04:00</t>
        </is>
      </c>
      <c r="Q8" s="39" t="inlineStr">
        <is>
          <t>Suíça</t>
        </is>
      </c>
      <c r="S8" s="40" t="n"/>
      <c r="U8" s="14" t="n"/>
      <c r="V8" s="41" t="inlineStr">
        <is>
          <t>x</t>
        </is>
      </c>
      <c r="W8" s="14" t="n"/>
      <c r="Y8" s="40" t="n"/>
      <c r="AA8" s="42">
        <f>IF(Repescagem!D4="","Europa 1",Repescagem!D4)</f>
        <v/>
      </c>
      <c r="AB8" s="26" t="n"/>
      <c r="AC8" s="26" t="n"/>
    </row>
    <row r="9" ht="16.15" customHeight="1">
      <c r="A9" s="26" t="n"/>
      <c r="B9" s="26" t="n"/>
      <c r="C9" s="21" t="inlineStr">
        <is>
          <t>19/06/2026 - 10:00</t>
        </is>
      </c>
      <c r="D9" s="39" t="inlineStr">
        <is>
          <t>México</t>
        </is>
      </c>
      <c r="F9" s="40" t="n"/>
      <c r="H9" s="14" t="n"/>
      <c r="I9" s="41" t="inlineStr">
        <is>
          <t>x</t>
        </is>
      </c>
      <c r="J9" s="14" t="n"/>
      <c r="L9" s="40" t="n"/>
      <c r="N9" s="42" t="inlineStr">
        <is>
          <t>Coréia do Sul</t>
        </is>
      </c>
      <c r="O9" s="26" t="n"/>
      <c r="P9" s="21" t="inlineStr">
        <is>
          <t>19/06/2026 - 07:00</t>
        </is>
      </c>
      <c r="Q9" s="39" t="inlineStr">
        <is>
          <t>Canadá</t>
        </is>
      </c>
      <c r="S9" s="40" t="n"/>
      <c r="U9" s="14" t="n"/>
      <c r="V9" s="41" t="inlineStr">
        <is>
          <t>x</t>
        </is>
      </c>
      <c r="W9" s="14" t="n"/>
      <c r="Y9" s="40" t="n"/>
      <c r="AA9" s="42" t="inlineStr">
        <is>
          <t>Catar</t>
        </is>
      </c>
      <c r="AB9" s="26" t="n"/>
      <c r="AC9" s="26" t="n"/>
    </row>
    <row r="10" ht="16.15" customHeight="1">
      <c r="A10" s="26" t="n"/>
      <c r="B10" s="26" t="n"/>
      <c r="C10" s="21" t="inlineStr">
        <is>
          <t>25/06/2026 - 10:00</t>
        </is>
      </c>
      <c r="D10" s="39">
        <f>IF(Repescagem!D7="","Europa 4",Repescagem!D7)</f>
        <v/>
      </c>
      <c r="F10" s="40" t="n"/>
      <c r="H10" s="14" t="n"/>
      <c r="I10" s="41" t="inlineStr">
        <is>
          <t>x</t>
        </is>
      </c>
      <c r="J10" s="14" t="n"/>
      <c r="L10" s="40" t="n"/>
      <c r="N10" s="42" t="inlineStr">
        <is>
          <t>México</t>
        </is>
      </c>
      <c r="O10" s="26" t="n"/>
      <c r="P10" s="21" t="inlineStr">
        <is>
          <t>25/06/2026 - 04:00</t>
        </is>
      </c>
      <c r="Q10" s="39" t="inlineStr">
        <is>
          <t>Suíça</t>
        </is>
      </c>
      <c r="S10" s="40" t="n"/>
      <c r="U10" s="14" t="n"/>
      <c r="V10" s="41" t="inlineStr">
        <is>
          <t>x</t>
        </is>
      </c>
      <c r="W10" s="14" t="n"/>
      <c r="Y10" s="40" t="n"/>
      <c r="AA10" s="42" t="inlineStr">
        <is>
          <t>Canadá</t>
        </is>
      </c>
      <c r="AB10" s="26" t="n"/>
      <c r="AC10" s="26" t="n"/>
    </row>
    <row r="11" ht="16.15" customHeight="1" thickBot="1">
      <c r="A11" s="26" t="n"/>
      <c r="B11" s="26" t="n"/>
      <c r="C11" s="22" t="inlineStr">
        <is>
          <t>25/06/2026 - 10:00</t>
        </is>
      </c>
      <c r="D11" s="43" t="inlineStr">
        <is>
          <t>África do Sul</t>
        </is>
      </c>
      <c r="E11" s="44" t="n"/>
      <c r="F11" s="45" t="n"/>
      <c r="G11" s="44" t="n"/>
      <c r="H11" s="15" t="n"/>
      <c r="I11" s="46" t="inlineStr">
        <is>
          <t>x</t>
        </is>
      </c>
      <c r="J11" s="15" t="n"/>
      <c r="K11" s="44" t="n"/>
      <c r="L11" s="45" t="n"/>
      <c r="M11" s="44" t="n"/>
      <c r="N11" s="47" t="inlineStr">
        <is>
          <t>Coréia do Sul</t>
        </is>
      </c>
      <c r="O11" s="26" t="n"/>
      <c r="P11" s="22" t="inlineStr">
        <is>
          <t>25/06/2026 - 04:00</t>
        </is>
      </c>
      <c r="Q11" s="43">
        <f>IF(Repescagem!D4="","Europa 1",Repescagem!D4)</f>
        <v/>
      </c>
      <c r="R11" s="44" t="n"/>
      <c r="S11" s="45" t="n"/>
      <c r="T11" s="44" t="n"/>
      <c r="U11" s="15" t="n"/>
      <c r="V11" s="46" t="inlineStr">
        <is>
          <t>x</t>
        </is>
      </c>
      <c r="W11" s="15" t="n"/>
      <c r="X11" s="44" t="n"/>
      <c r="Y11" s="45" t="n"/>
      <c r="Z11" s="44" t="n"/>
      <c r="AA11" s="47" t="inlineStr">
        <is>
          <t>Catar</t>
        </is>
      </c>
      <c r="AB11" s="26" t="n"/>
      <c r="AC11" s="26" t="n"/>
    </row>
    <row r="12" ht="4.9" customHeight="1" thickBot="1">
      <c r="A12" s="26" t="n"/>
      <c r="B12" s="26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26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26" t="n"/>
      <c r="AC12" s="26" t="n"/>
    </row>
    <row r="13" ht="18" customHeight="1" thickBot="1">
      <c r="A13" s="26" t="n"/>
      <c r="B13" s="26" t="n"/>
      <c r="C13" s="128" t="inlineStr">
        <is>
          <t>GRUPO C</t>
        </is>
      </c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30" t="n"/>
      <c r="O13" s="26" t="n"/>
      <c r="P13" s="128" t="inlineStr">
        <is>
          <t>GRUPO D</t>
        </is>
      </c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30" t="n"/>
      <c r="AB13" s="26" t="n"/>
      <c r="AC13" s="26" t="n"/>
    </row>
    <row r="14" ht="16.15" customHeight="1" thickTop="1">
      <c r="A14" s="26" t="n"/>
      <c r="B14" s="26" t="n"/>
      <c r="C14" s="20" t="inlineStr">
        <is>
          <t>14/06/2026 - 07:00</t>
        </is>
      </c>
      <c r="D14" s="34" t="inlineStr">
        <is>
          <t>Brasil</t>
        </is>
      </c>
      <c r="E14" s="35" t="n"/>
      <c r="F14" s="36" t="n"/>
      <c r="G14" s="35" t="n"/>
      <c r="H14" s="13" t="n"/>
      <c r="I14" s="37" t="inlineStr">
        <is>
          <t>x</t>
        </is>
      </c>
      <c r="J14" s="13" t="n"/>
      <c r="K14" s="35" t="n"/>
      <c r="L14" s="36" t="n"/>
      <c r="M14" s="35" t="n"/>
      <c r="N14" s="38" t="inlineStr">
        <is>
          <t>Marrocos</t>
        </is>
      </c>
      <c r="O14" s="26" t="n"/>
      <c r="P14" s="20" t="inlineStr">
        <is>
          <t>13/06/2026 - 10:00</t>
        </is>
      </c>
      <c r="Q14" s="34" t="inlineStr">
        <is>
          <t>Estados Unidos</t>
        </is>
      </c>
      <c r="R14" s="35" t="n"/>
      <c r="S14" s="36" t="n"/>
      <c r="T14" s="35" t="n"/>
      <c r="U14" s="13" t="n"/>
      <c r="V14" s="37" t="inlineStr">
        <is>
          <t>x</t>
        </is>
      </c>
      <c r="W14" s="13" t="n"/>
      <c r="X14" s="35" t="n"/>
      <c r="Y14" s="36" t="n"/>
      <c r="Z14" s="35" t="n"/>
      <c r="AA14" s="38" t="inlineStr">
        <is>
          <t>Paraguai</t>
        </is>
      </c>
      <c r="AB14" s="26" t="n"/>
      <c r="AC14" s="26" t="n"/>
    </row>
    <row r="15" ht="16.15" customHeight="1">
      <c r="A15" s="26" t="n"/>
      <c r="B15" s="26" t="n"/>
      <c r="C15" s="21" t="inlineStr">
        <is>
          <t>14/06/2026 - 10:00</t>
        </is>
      </c>
      <c r="D15" s="39" t="inlineStr">
        <is>
          <t>Haiti</t>
        </is>
      </c>
      <c r="F15" s="40" t="n"/>
      <c r="H15" s="14" t="n"/>
      <c r="I15" s="41" t="inlineStr">
        <is>
          <t>x</t>
        </is>
      </c>
      <c r="J15" s="14" t="n"/>
      <c r="L15" s="40" t="n"/>
      <c r="N15" s="42" t="inlineStr">
        <is>
          <t>Escócia</t>
        </is>
      </c>
      <c r="O15" s="26" t="n"/>
      <c r="P15" s="21" t="inlineStr">
        <is>
          <t>14/06/2026 - 13:00</t>
        </is>
      </c>
      <c r="Q15" s="39" t="inlineStr">
        <is>
          <t>Austrália</t>
        </is>
      </c>
      <c r="S15" s="40" t="n"/>
      <c r="U15" s="14" t="n"/>
      <c r="V15" s="41" t="inlineStr">
        <is>
          <t>x</t>
        </is>
      </c>
      <c r="W15" s="14" t="n"/>
      <c r="Y15" s="40" t="n"/>
      <c r="AA15" s="42">
        <f>IF(Repescagem!D6="","Europa 3",Repescagem!D6)</f>
        <v/>
      </c>
      <c r="AB15" s="26" t="n"/>
      <c r="AC15" s="26" t="n"/>
    </row>
    <row r="16" ht="16.15" customHeight="1">
      <c r="A16" s="26" t="n"/>
      <c r="B16" s="26" t="n"/>
      <c r="C16" s="21" t="inlineStr">
        <is>
          <t>20/06/2026 - 07:00</t>
        </is>
      </c>
      <c r="D16" s="39" t="inlineStr">
        <is>
          <t>Escócia</t>
        </is>
      </c>
      <c r="F16" s="40" t="n"/>
      <c r="H16" s="14" t="n"/>
      <c r="I16" s="41" t="inlineStr">
        <is>
          <t>x</t>
        </is>
      </c>
      <c r="J16" s="14" t="n"/>
      <c r="L16" s="40" t="n"/>
      <c r="N16" s="42" t="inlineStr">
        <is>
          <t>Marrocos</t>
        </is>
      </c>
      <c r="O16" s="26" t="n"/>
      <c r="P16" s="21" t="inlineStr">
        <is>
          <t>20/06/2026 - 13:00</t>
        </is>
      </c>
      <c r="Q16" s="39">
        <f>IF(Repescagem!D6="","Europa 3",Repescagem!D6)</f>
        <v/>
      </c>
      <c r="S16" s="40" t="n"/>
      <c r="U16" s="14" t="n"/>
      <c r="V16" s="41" t="inlineStr">
        <is>
          <t>x</t>
        </is>
      </c>
      <c r="W16" s="14" t="n"/>
      <c r="Y16" s="40" t="n"/>
      <c r="AA16" s="42" t="inlineStr">
        <is>
          <t>Paraguai</t>
        </is>
      </c>
      <c r="AB16" s="26" t="n"/>
      <c r="AC16" s="26" t="n"/>
    </row>
    <row r="17" ht="16.15" customHeight="1">
      <c r="A17" s="26" t="n"/>
      <c r="B17" s="26" t="n"/>
      <c r="C17" s="21" t="inlineStr">
        <is>
          <t>20/06/2026 - 10:00</t>
        </is>
      </c>
      <c r="D17" s="39" t="inlineStr">
        <is>
          <t>Brasil</t>
        </is>
      </c>
      <c r="F17" s="40" t="n"/>
      <c r="H17" s="14" t="n"/>
      <c r="I17" s="41" t="inlineStr">
        <is>
          <t>x</t>
        </is>
      </c>
      <c r="J17" s="14" t="n"/>
      <c r="L17" s="40" t="n"/>
      <c r="N17" s="42" t="inlineStr">
        <is>
          <t>Haiti</t>
        </is>
      </c>
      <c r="O17" s="26" t="n"/>
      <c r="P17" s="21" t="inlineStr">
        <is>
          <t>20/06/2026 - 04:00</t>
        </is>
      </c>
      <c r="Q17" s="39" t="inlineStr">
        <is>
          <t>Estados Unidos</t>
        </is>
      </c>
      <c r="S17" s="40" t="n"/>
      <c r="U17" s="14" t="n"/>
      <c r="V17" s="41" t="inlineStr">
        <is>
          <t>x</t>
        </is>
      </c>
      <c r="W17" s="14" t="n"/>
      <c r="Y17" s="40" t="n"/>
      <c r="AA17" s="42" t="inlineStr">
        <is>
          <t>Austrália</t>
        </is>
      </c>
      <c r="AB17" s="26" t="n"/>
      <c r="AC17" s="26" t="n"/>
    </row>
    <row r="18" ht="16.15" customHeight="1">
      <c r="A18" s="26" t="n"/>
      <c r="B18" s="26" t="n"/>
      <c r="C18" s="21" t="inlineStr">
        <is>
          <t>25/06/2026 - 07:00</t>
        </is>
      </c>
      <c r="D18" s="39" t="inlineStr">
        <is>
          <t>Escócia</t>
        </is>
      </c>
      <c r="F18" s="40" t="n"/>
      <c r="H18" s="14" t="n"/>
      <c r="I18" s="41" t="inlineStr">
        <is>
          <t>x</t>
        </is>
      </c>
      <c r="J18" s="14" t="n"/>
      <c r="L18" s="40" t="n"/>
      <c r="N18" s="42" t="inlineStr">
        <is>
          <t>Brasil</t>
        </is>
      </c>
      <c r="O18" s="26" t="n"/>
      <c r="P18" s="21" t="inlineStr">
        <is>
          <t>26/06/2026 - 11:00</t>
        </is>
      </c>
      <c r="Q18" s="39">
        <f>IF(Repescagem!D6="","Europa 3",Repescagem!D6)</f>
        <v/>
      </c>
      <c r="S18" s="40" t="n"/>
      <c r="U18" s="14" t="n"/>
      <c r="V18" s="41" t="inlineStr">
        <is>
          <t>x</t>
        </is>
      </c>
      <c r="W18" s="14" t="n"/>
      <c r="Y18" s="40" t="n"/>
      <c r="AA18" s="42" t="inlineStr">
        <is>
          <t>Estados Unidos</t>
        </is>
      </c>
      <c r="AB18" s="26" t="n"/>
      <c r="AC18" s="26" t="n"/>
    </row>
    <row r="19" ht="16.15" customHeight="1" thickBot="1">
      <c r="A19" s="26" t="n"/>
      <c r="B19" s="26" t="n"/>
      <c r="C19" s="22" t="inlineStr">
        <is>
          <t>25/06/2026 - 07:00</t>
        </is>
      </c>
      <c r="D19" s="43" t="inlineStr">
        <is>
          <t>Marrocos</t>
        </is>
      </c>
      <c r="E19" s="44" t="n"/>
      <c r="F19" s="45" t="n"/>
      <c r="G19" s="44" t="n"/>
      <c r="H19" s="15" t="n"/>
      <c r="I19" s="46" t="inlineStr">
        <is>
          <t>x</t>
        </is>
      </c>
      <c r="J19" s="15" t="n"/>
      <c r="K19" s="44" t="n"/>
      <c r="L19" s="45" t="n"/>
      <c r="M19" s="44" t="n"/>
      <c r="N19" s="47" t="inlineStr">
        <is>
          <t>Haiti</t>
        </is>
      </c>
      <c r="O19" s="26" t="n"/>
      <c r="P19" s="22" t="inlineStr">
        <is>
          <t>26/06/2026 - 11:00</t>
        </is>
      </c>
      <c r="Q19" s="43" t="inlineStr">
        <is>
          <t>Paraguai</t>
        </is>
      </c>
      <c r="R19" s="44" t="n"/>
      <c r="S19" s="45" t="n"/>
      <c r="T19" s="44" t="n"/>
      <c r="U19" s="15" t="n"/>
      <c r="V19" s="46" t="inlineStr">
        <is>
          <t>x</t>
        </is>
      </c>
      <c r="W19" s="15" t="n"/>
      <c r="X19" s="44" t="n"/>
      <c r="Y19" s="45" t="n"/>
      <c r="Z19" s="44" t="n"/>
      <c r="AA19" s="47" t="inlineStr">
        <is>
          <t>Austrália</t>
        </is>
      </c>
      <c r="AB19" s="26" t="n"/>
      <c r="AC19" s="26" t="n"/>
    </row>
    <row r="20" ht="4.9" customHeight="1" thickBot="1" thickTop="1">
      <c r="A20" s="26" t="n"/>
      <c r="B20" s="26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26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26" t="n"/>
      <c r="AC20" s="26" t="n"/>
    </row>
    <row r="21" ht="18" customHeight="1" thickBot="1">
      <c r="A21" s="26" t="n"/>
      <c r="B21" s="26" t="n"/>
      <c r="C21" s="128" t="inlineStr">
        <is>
          <t>GRUPO E</t>
        </is>
      </c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30" t="n"/>
      <c r="O21" s="26" t="n"/>
      <c r="P21" s="128" t="inlineStr">
        <is>
          <t>GRUPO F</t>
        </is>
      </c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30" t="n"/>
      <c r="AB21" s="26" t="n"/>
      <c r="AC21" s="26" t="n"/>
    </row>
    <row r="22" ht="16.15" customHeight="1" thickTop="1">
      <c r="A22" s="26" t="n"/>
      <c r="B22" s="26" t="n"/>
      <c r="C22" s="20" t="inlineStr">
        <is>
          <t>15/06/2026 - 02:00</t>
        </is>
      </c>
      <c r="D22" s="34" t="inlineStr">
        <is>
          <t>Alemanha</t>
        </is>
      </c>
      <c r="E22" s="35" t="n"/>
      <c r="F22" s="36" t="n"/>
      <c r="G22" s="35" t="n"/>
      <c r="H22" s="13" t="n"/>
      <c r="I22" s="37" t="inlineStr">
        <is>
          <t>x</t>
        </is>
      </c>
      <c r="J22" s="13" t="n"/>
      <c r="K22" s="35" t="n"/>
      <c r="L22" s="36" t="n"/>
      <c r="M22" s="35" t="n"/>
      <c r="N22" s="38" t="inlineStr">
        <is>
          <t>Curaçao</t>
        </is>
      </c>
      <c r="O22" s="26" t="n"/>
      <c r="P22" s="20" t="inlineStr">
        <is>
          <t>15/06/2026 - 05:00</t>
        </is>
      </c>
      <c r="Q22" s="34" t="inlineStr">
        <is>
          <t>Holanda</t>
        </is>
      </c>
      <c r="R22" s="35" t="n"/>
      <c r="S22" s="36" t="n"/>
      <c r="T22" s="35" t="n"/>
      <c r="U22" s="13" t="n"/>
      <c r="V22" s="37" t="inlineStr">
        <is>
          <t>x</t>
        </is>
      </c>
      <c r="W22" s="13" t="n"/>
      <c r="X22" s="35" t="n"/>
      <c r="Y22" s="36" t="n"/>
      <c r="Z22" s="35" t="n"/>
      <c r="AA22" s="38" t="inlineStr">
        <is>
          <t>Japão</t>
        </is>
      </c>
      <c r="AB22" s="26" t="n"/>
      <c r="AC22" s="26" t="n"/>
    </row>
    <row r="23" ht="16.15" customHeight="1">
      <c r="A23" s="26" t="n"/>
      <c r="B23" s="26" t="n"/>
      <c r="C23" s="21" t="inlineStr">
        <is>
          <t>15/06/2026 - 08:00</t>
        </is>
      </c>
      <c r="D23" s="39" t="inlineStr">
        <is>
          <t>Costa do Marfim</t>
        </is>
      </c>
      <c r="F23" s="40" t="n"/>
      <c r="H23" s="14" t="n"/>
      <c r="I23" s="41" t="inlineStr">
        <is>
          <t>x</t>
        </is>
      </c>
      <c r="J23" s="14" t="n"/>
      <c r="L23" s="40" t="n"/>
      <c r="N23" s="42" t="inlineStr">
        <is>
          <t>Equador</t>
        </is>
      </c>
      <c r="O23" s="26" t="n"/>
      <c r="P23" s="21" t="inlineStr">
        <is>
          <t>15/06/2026 - 11:00</t>
        </is>
      </c>
      <c r="Q23" s="39">
        <f>IF(Repescagem!D5="","Europa 2",Repescagem!D5)</f>
        <v/>
      </c>
      <c r="S23" s="40" t="n"/>
      <c r="U23" s="14" t="n"/>
      <c r="V23" s="41" t="inlineStr">
        <is>
          <t>x</t>
        </is>
      </c>
      <c r="W23" s="14" t="n"/>
      <c r="Y23" s="40" t="n"/>
      <c r="AA23" s="42" t="inlineStr">
        <is>
          <t>Tunísia</t>
        </is>
      </c>
      <c r="AB23" s="26" t="n"/>
      <c r="AC23" s="26" t="n"/>
    </row>
    <row r="24" ht="16.15" customHeight="1">
      <c r="A24" s="26" t="n"/>
      <c r="B24" s="26" t="n"/>
      <c r="C24" s="21" t="inlineStr">
        <is>
          <t>21/06/2026 - 05:00</t>
        </is>
      </c>
      <c r="D24" s="39" t="inlineStr">
        <is>
          <t>Alemanha</t>
        </is>
      </c>
      <c r="F24" s="40" t="n"/>
      <c r="H24" s="14" t="n"/>
      <c r="I24" s="41" t="inlineStr">
        <is>
          <t>x</t>
        </is>
      </c>
      <c r="J24" s="14" t="n"/>
      <c r="L24" s="40" t="n"/>
      <c r="N24" s="42" t="inlineStr">
        <is>
          <t>Costa do Marfim</t>
        </is>
      </c>
      <c r="O24" s="26" t="n"/>
      <c r="P24" s="21" t="inlineStr">
        <is>
          <t>21/06/2026 - 13:00</t>
        </is>
      </c>
      <c r="Q24" s="39" t="inlineStr">
        <is>
          <t>Tunísia</t>
        </is>
      </c>
      <c r="S24" s="40" t="n"/>
      <c r="U24" s="14" t="n"/>
      <c r="V24" s="41" t="inlineStr">
        <is>
          <t>x</t>
        </is>
      </c>
      <c r="W24" s="14" t="n"/>
      <c r="Y24" s="40" t="n"/>
      <c r="AA24" s="42" t="inlineStr">
        <is>
          <t>Japão</t>
        </is>
      </c>
      <c r="AB24" s="26" t="n"/>
      <c r="AC24" s="26" t="n"/>
    </row>
    <row r="25" ht="16.15" customHeight="1">
      <c r="A25" s="26" t="n"/>
      <c r="B25" s="26" t="n"/>
      <c r="C25" s="21" t="inlineStr">
        <is>
          <t>21/06/2026 - 09:00</t>
        </is>
      </c>
      <c r="D25" s="39" t="inlineStr">
        <is>
          <t>Equador</t>
        </is>
      </c>
      <c r="F25" s="40" t="n"/>
      <c r="H25" s="14" t="n"/>
      <c r="I25" s="41" t="inlineStr">
        <is>
          <t>x</t>
        </is>
      </c>
      <c r="J25" s="14" t="n"/>
      <c r="L25" s="40" t="n"/>
      <c r="N25" s="42" t="inlineStr">
        <is>
          <t>Curaçao</t>
        </is>
      </c>
      <c r="O25" s="26" t="n"/>
      <c r="P25" s="21" t="inlineStr">
        <is>
          <t>21/06/2026 - 02:00</t>
        </is>
      </c>
      <c r="Q25" s="39" t="inlineStr">
        <is>
          <t>Holanda</t>
        </is>
      </c>
      <c r="S25" s="40" t="n"/>
      <c r="U25" s="14" t="n"/>
      <c r="V25" s="41" t="inlineStr">
        <is>
          <t>x</t>
        </is>
      </c>
      <c r="W25" s="14" t="n"/>
      <c r="Y25" s="40" t="n"/>
      <c r="AA25" s="42">
        <f>IF(Repescagem!D5="","Europa 2",Repescagem!D5)</f>
        <v/>
      </c>
      <c r="AB25" s="26" t="n"/>
      <c r="AC25" s="26" t="n"/>
    </row>
    <row r="26" ht="16.15" customHeight="1">
      <c r="A26" s="26" t="n"/>
      <c r="B26" s="26" t="n"/>
      <c r="C26" s="21" t="inlineStr">
        <is>
          <t>26/06/2026 - 05:00</t>
        </is>
      </c>
      <c r="D26" s="39" t="inlineStr">
        <is>
          <t>Equador</t>
        </is>
      </c>
      <c r="F26" s="40" t="n"/>
      <c r="H26" s="14" t="n"/>
      <c r="I26" s="41" t="inlineStr">
        <is>
          <t>x</t>
        </is>
      </c>
      <c r="J26" s="14" t="n"/>
      <c r="L26" s="40" t="n"/>
      <c r="N26" s="42" t="inlineStr">
        <is>
          <t>Alemanha</t>
        </is>
      </c>
      <c r="O26" s="26" t="n"/>
      <c r="P26" s="21" t="inlineStr">
        <is>
          <t>26/06/2026 - 08:00</t>
        </is>
      </c>
      <c r="Q26" s="39" t="inlineStr">
        <is>
          <t>Japão</t>
        </is>
      </c>
      <c r="S26" s="40" t="n"/>
      <c r="U26" s="14" t="n"/>
      <c r="V26" s="41" t="inlineStr">
        <is>
          <t>x</t>
        </is>
      </c>
      <c r="W26" s="14" t="n"/>
      <c r="Y26" s="40" t="n"/>
      <c r="AA26" s="42">
        <f>IF(Repescagem!D5="","Europa 2",Repescagem!D5)</f>
        <v/>
      </c>
      <c r="AB26" s="26" t="n"/>
      <c r="AC26" s="26" t="n"/>
    </row>
    <row r="27" ht="16.15" customHeight="1" thickBot="1">
      <c r="A27" s="26" t="n"/>
      <c r="B27" s="26" t="n"/>
      <c r="C27" s="22" t="inlineStr">
        <is>
          <t>26/06/2026 - 05:00</t>
        </is>
      </c>
      <c r="D27" s="43" t="inlineStr">
        <is>
          <t>Curaçao</t>
        </is>
      </c>
      <c r="E27" s="44" t="n"/>
      <c r="F27" s="45" t="n"/>
      <c r="G27" s="44" t="n"/>
      <c r="H27" s="15" t="n"/>
      <c r="I27" s="46" t="inlineStr">
        <is>
          <t>x</t>
        </is>
      </c>
      <c r="J27" s="15" t="n"/>
      <c r="K27" s="44" t="n"/>
      <c r="L27" s="45" t="n"/>
      <c r="M27" s="44" t="n"/>
      <c r="N27" s="47" t="inlineStr">
        <is>
          <t>Costa do Marfim</t>
        </is>
      </c>
      <c r="O27" s="26" t="n"/>
      <c r="P27" s="22" t="inlineStr">
        <is>
          <t>26/06/2026 - 08:00</t>
        </is>
      </c>
      <c r="Q27" s="43" t="inlineStr">
        <is>
          <t>Tunísia</t>
        </is>
      </c>
      <c r="R27" s="44" t="n"/>
      <c r="S27" s="45" t="n"/>
      <c r="T27" s="44" t="n"/>
      <c r="U27" s="15" t="n"/>
      <c r="V27" s="46" t="inlineStr">
        <is>
          <t>x</t>
        </is>
      </c>
      <c r="W27" s="15" t="n"/>
      <c r="X27" s="44" t="n"/>
      <c r="Y27" s="45" t="n"/>
      <c r="Z27" s="44" t="n"/>
      <c r="AA27" s="47" t="inlineStr">
        <is>
          <t>Holanda</t>
        </is>
      </c>
      <c r="AB27" s="26" t="n"/>
      <c r="AC27" s="26" t="n"/>
    </row>
    <row r="28" ht="4.9" customHeight="1" thickBot="1" thickTop="1">
      <c r="A28" s="26" t="n"/>
      <c r="B28" s="26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26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26" t="n"/>
      <c r="AC28" s="26" t="n"/>
    </row>
    <row r="29" ht="18" customHeight="1" thickBot="1">
      <c r="A29" s="26" t="n"/>
      <c r="B29" s="26" t="n"/>
      <c r="C29" s="128" t="inlineStr">
        <is>
          <t>GRUPO G</t>
        </is>
      </c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30" t="n"/>
      <c r="O29" s="26" t="n"/>
      <c r="P29" s="128" t="inlineStr">
        <is>
          <t>GRUPO H</t>
        </is>
      </c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30" t="n"/>
      <c r="AB29" s="26" t="n"/>
      <c r="AC29" s="26" t="n"/>
    </row>
    <row r="30" ht="16.15" customHeight="1" thickTop="1">
      <c r="A30" s="26" t="n"/>
      <c r="B30" s="26" t="n"/>
      <c r="C30" s="20" t="inlineStr">
        <is>
          <t>16/06/2026 - 04:00</t>
        </is>
      </c>
      <c r="D30" s="34" t="inlineStr">
        <is>
          <t>Bélgica</t>
        </is>
      </c>
      <c r="E30" s="35" t="n"/>
      <c r="F30" s="36" t="n"/>
      <c r="G30" s="35" t="n"/>
      <c r="H30" s="13" t="n"/>
      <c r="I30" s="37" t="inlineStr">
        <is>
          <t>x</t>
        </is>
      </c>
      <c r="J30" s="13" t="n"/>
      <c r="K30" s="35" t="n"/>
      <c r="L30" s="36" t="n"/>
      <c r="M30" s="35" t="n"/>
      <c r="N30" s="38" t="inlineStr">
        <is>
          <t>Egito</t>
        </is>
      </c>
      <c r="O30" s="26" t="n"/>
      <c r="P30" s="20" t="inlineStr">
        <is>
          <t>16/06/2026 - 01:00</t>
        </is>
      </c>
      <c r="Q30" s="34" t="inlineStr">
        <is>
          <t>Espanha</t>
        </is>
      </c>
      <c r="R30" s="35" t="n"/>
      <c r="S30" s="36" t="n"/>
      <c r="T30" s="35" t="n"/>
      <c r="U30" s="13" t="n"/>
      <c r="V30" s="37" t="inlineStr">
        <is>
          <t>x</t>
        </is>
      </c>
      <c r="W30" s="13" t="n"/>
      <c r="X30" s="35" t="n"/>
      <c r="Y30" s="36" t="n"/>
      <c r="Z30" s="35" t="n"/>
      <c r="AA30" s="38" t="inlineStr">
        <is>
          <t>Cabo Verde</t>
        </is>
      </c>
      <c r="AB30" s="26" t="n"/>
      <c r="AC30" s="26" t="n"/>
    </row>
    <row r="31" ht="16.15" customHeight="1">
      <c r="A31" s="26" t="n"/>
      <c r="B31" s="26" t="n"/>
      <c r="C31" s="21" t="inlineStr">
        <is>
          <t>16/06/2026 - 10:00</t>
        </is>
      </c>
      <c r="D31" s="39" t="inlineStr">
        <is>
          <t>Irã</t>
        </is>
      </c>
      <c r="F31" s="40" t="n"/>
      <c r="H31" s="14" t="n"/>
      <c r="I31" s="41" t="inlineStr">
        <is>
          <t>x</t>
        </is>
      </c>
      <c r="J31" s="14" t="n"/>
      <c r="L31" s="40" t="n"/>
      <c r="N31" s="42" t="inlineStr">
        <is>
          <t>Nova Zelândia</t>
        </is>
      </c>
      <c r="O31" s="26" t="n"/>
      <c r="P31" s="21" t="inlineStr">
        <is>
          <t>16/06/2026 - 07:00</t>
        </is>
      </c>
      <c r="Q31" s="39" t="inlineStr">
        <is>
          <t>Arábia Saudita</t>
        </is>
      </c>
      <c r="S31" s="40" t="n"/>
      <c r="U31" s="14" t="n"/>
      <c r="V31" s="41" t="inlineStr">
        <is>
          <t>x</t>
        </is>
      </c>
      <c r="W31" s="14" t="n"/>
      <c r="Y31" s="40" t="n"/>
      <c r="AA31" s="42" t="inlineStr">
        <is>
          <t>Uruguai</t>
        </is>
      </c>
      <c r="AB31" s="26" t="n"/>
      <c r="AC31" s="26" t="n"/>
    </row>
    <row r="32" ht="16.15" customHeight="1">
      <c r="A32" s="26" t="n"/>
      <c r="B32" s="26" t="n"/>
      <c r="C32" s="21" t="inlineStr">
        <is>
          <t>22/06/2026 - 04:00</t>
        </is>
      </c>
      <c r="D32" s="39" t="inlineStr">
        <is>
          <t>Bélgica</t>
        </is>
      </c>
      <c r="F32" s="40" t="n"/>
      <c r="H32" s="14" t="n"/>
      <c r="I32" s="41" t="inlineStr">
        <is>
          <t>x</t>
        </is>
      </c>
      <c r="J32" s="14" t="n"/>
      <c r="L32" s="40" t="n"/>
      <c r="N32" s="42" t="inlineStr">
        <is>
          <t>Irã</t>
        </is>
      </c>
      <c r="O32" s="26" t="n"/>
      <c r="P32" s="21" t="inlineStr">
        <is>
          <t>22/06/2026 - 01:00</t>
        </is>
      </c>
      <c r="Q32" s="39" t="inlineStr">
        <is>
          <t>Espanha</t>
        </is>
      </c>
      <c r="S32" s="40" t="n"/>
      <c r="U32" s="14" t="n"/>
      <c r="V32" s="41" t="inlineStr">
        <is>
          <t>x</t>
        </is>
      </c>
      <c r="W32" s="14" t="n"/>
      <c r="Y32" s="40" t="n"/>
      <c r="AA32" s="42" t="inlineStr">
        <is>
          <t>Arábia Saudita</t>
        </is>
      </c>
      <c r="AB32" s="26" t="n"/>
      <c r="AC32" s="26" t="n"/>
    </row>
    <row r="33" ht="16.15" customHeight="1">
      <c r="A33" s="26" t="n"/>
      <c r="B33" s="26" t="n"/>
      <c r="C33" s="21" t="inlineStr">
        <is>
          <t>22/06/2026 - 10:00</t>
        </is>
      </c>
      <c r="D33" s="39" t="inlineStr">
        <is>
          <t>Nova Zelândia</t>
        </is>
      </c>
      <c r="F33" s="40" t="n"/>
      <c r="H33" s="14" t="n"/>
      <c r="I33" s="41" t="inlineStr">
        <is>
          <t>x</t>
        </is>
      </c>
      <c r="J33" s="14" t="n"/>
      <c r="L33" s="40" t="n"/>
      <c r="N33" s="42" t="inlineStr">
        <is>
          <t>Egito</t>
        </is>
      </c>
      <c r="O33" s="26" t="n"/>
      <c r="P33" s="21" t="inlineStr">
        <is>
          <t>22/06/2026 - 07:00</t>
        </is>
      </c>
      <c r="Q33" s="39" t="inlineStr">
        <is>
          <t>Uruguai</t>
        </is>
      </c>
      <c r="S33" s="40" t="n"/>
      <c r="U33" s="14" t="n"/>
      <c r="V33" s="41" t="inlineStr">
        <is>
          <t>x</t>
        </is>
      </c>
      <c r="W33" s="14" t="n"/>
      <c r="Y33" s="40" t="n"/>
      <c r="AA33" s="42" t="inlineStr">
        <is>
          <t>Cabo Verde</t>
        </is>
      </c>
      <c r="AB33" s="26" t="n"/>
      <c r="AC33" s="26" t="n"/>
    </row>
    <row r="34" ht="16.15" customHeight="1">
      <c r="A34" s="26" t="n"/>
      <c r="B34" s="26" t="n"/>
      <c r="C34" s="21" t="inlineStr">
        <is>
          <t>27/06/2026 - 12:00</t>
        </is>
      </c>
      <c r="D34" s="39" t="inlineStr">
        <is>
          <t>Egito</t>
        </is>
      </c>
      <c r="F34" s="40" t="n"/>
      <c r="H34" s="14" t="n"/>
      <c r="I34" s="41" t="inlineStr">
        <is>
          <t>x</t>
        </is>
      </c>
      <c r="J34" s="14" t="n"/>
      <c r="L34" s="40" t="n"/>
      <c r="N34" s="42" t="inlineStr">
        <is>
          <t>Irã</t>
        </is>
      </c>
      <c r="O34" s="26" t="n"/>
      <c r="P34" s="21" t="inlineStr">
        <is>
          <t>27/06/2026 - 09:00</t>
        </is>
      </c>
      <c r="Q34" s="39" t="inlineStr">
        <is>
          <t>Cabo Verde</t>
        </is>
      </c>
      <c r="S34" s="40" t="n"/>
      <c r="U34" s="14" t="n"/>
      <c r="V34" s="41" t="inlineStr">
        <is>
          <t>x</t>
        </is>
      </c>
      <c r="W34" s="14" t="n"/>
      <c r="Y34" s="40" t="n"/>
      <c r="AA34" s="42" t="inlineStr">
        <is>
          <t>Arábia Saudita</t>
        </is>
      </c>
      <c r="AB34" s="26" t="n"/>
      <c r="AC34" s="26" t="n"/>
    </row>
    <row r="35" ht="16.15" customHeight="1" thickBot="1">
      <c r="A35" s="26" t="n"/>
      <c r="B35" s="26" t="n"/>
      <c r="C35" s="22" t="inlineStr">
        <is>
          <t>27/06/2026 - 12:00</t>
        </is>
      </c>
      <c r="D35" s="43" t="inlineStr">
        <is>
          <t>Nova Zelândia</t>
        </is>
      </c>
      <c r="E35" s="44" t="n"/>
      <c r="F35" s="45" t="n"/>
      <c r="G35" s="44" t="n"/>
      <c r="H35" s="15" t="n"/>
      <c r="I35" s="46" t="inlineStr">
        <is>
          <t>x</t>
        </is>
      </c>
      <c r="J35" s="15" t="n"/>
      <c r="K35" s="44" t="n"/>
      <c r="L35" s="45" t="n"/>
      <c r="M35" s="44" t="n"/>
      <c r="N35" s="47" t="inlineStr">
        <is>
          <t>Bélgica</t>
        </is>
      </c>
      <c r="O35" s="26" t="n"/>
      <c r="P35" s="22" t="inlineStr">
        <is>
          <t>27/06/2026 - 09:00</t>
        </is>
      </c>
      <c r="Q35" s="43" t="inlineStr">
        <is>
          <t>Uruguai</t>
        </is>
      </c>
      <c r="R35" s="44" t="n"/>
      <c r="S35" s="45" t="n"/>
      <c r="T35" s="44" t="n"/>
      <c r="U35" s="15" t="n"/>
      <c r="V35" s="46" t="inlineStr">
        <is>
          <t>x</t>
        </is>
      </c>
      <c r="W35" s="15" t="n"/>
      <c r="X35" s="44" t="n"/>
      <c r="Y35" s="45" t="n"/>
      <c r="Z35" s="44" t="n"/>
      <c r="AA35" s="47" t="inlineStr">
        <is>
          <t>Espanha</t>
        </is>
      </c>
      <c r="AB35" s="26" t="n"/>
      <c r="AC35" s="26" t="n"/>
    </row>
    <row r="36" ht="4.9" customHeight="1" thickBot="1" thickTop="1">
      <c r="A36" s="26" t="n"/>
      <c r="B36" s="26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26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26" t="n"/>
      <c r="AC36" s="26" t="n"/>
    </row>
    <row r="37" ht="18" customHeight="1" thickBot="1">
      <c r="A37" s="26" t="n"/>
      <c r="B37" s="26" t="n"/>
      <c r="C37" s="128" t="inlineStr">
        <is>
          <t>GRUPO I</t>
        </is>
      </c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30" t="n"/>
      <c r="O37" s="26" t="n"/>
      <c r="P37" s="128" t="inlineStr">
        <is>
          <t>GRUPO J</t>
        </is>
      </c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30" t="n"/>
      <c r="AB37" s="26" t="n"/>
      <c r="AC37" s="26" t="n"/>
    </row>
    <row r="38" ht="16.15" customHeight="1" thickTop="1">
      <c r="A38" s="26" t="n"/>
      <c r="B38" s="26" t="n"/>
      <c r="C38" s="20" t="inlineStr">
        <is>
          <t>17/06/2026 - 04:00</t>
        </is>
      </c>
      <c r="D38" s="34" t="inlineStr">
        <is>
          <t>França</t>
        </is>
      </c>
      <c r="E38" s="35" t="n"/>
      <c r="F38" s="36" t="n"/>
      <c r="G38" s="35" t="n"/>
      <c r="H38" s="13" t="n"/>
      <c r="I38" s="37" t="inlineStr">
        <is>
          <t>x</t>
        </is>
      </c>
      <c r="J38" s="13" t="n"/>
      <c r="K38" s="35" t="n"/>
      <c r="L38" s="36" t="n"/>
      <c r="M38" s="35" t="n"/>
      <c r="N38" s="38" t="inlineStr">
        <is>
          <t>Senegal</t>
        </is>
      </c>
      <c r="O38" s="26" t="n"/>
      <c r="P38" s="20" t="inlineStr">
        <is>
          <t>17/06/2026 - 13:00</t>
        </is>
      </c>
      <c r="Q38" s="34" t="inlineStr">
        <is>
          <t>Áustria</t>
        </is>
      </c>
      <c r="R38" s="35" t="n"/>
      <c r="S38" s="36" t="n"/>
      <c r="T38" s="35" t="n"/>
      <c r="U38" s="13" t="n"/>
      <c r="V38" s="37" t="inlineStr">
        <is>
          <t>x</t>
        </is>
      </c>
      <c r="W38" s="13" t="n"/>
      <c r="X38" s="35" t="n"/>
      <c r="Y38" s="36" t="n"/>
      <c r="Z38" s="35" t="n"/>
      <c r="AA38" s="38" t="inlineStr">
        <is>
          <t>Jordânia</t>
        </is>
      </c>
      <c r="AB38" s="26" t="n"/>
      <c r="AC38" s="26" t="n"/>
    </row>
    <row r="39" ht="16.15" customHeight="1">
      <c r="A39" s="26" t="n"/>
      <c r="B39" s="26" t="n"/>
      <c r="C39" s="21" t="inlineStr">
        <is>
          <t>17/06/2026 - 07:00</t>
        </is>
      </c>
      <c r="D39" s="39">
        <f>IF(Repescagem!D9="","Intercontinental 2",Repescagem!D9)</f>
        <v/>
      </c>
      <c r="F39" s="40" t="n"/>
      <c r="H39" s="14" t="n"/>
      <c r="I39" s="41" t="inlineStr">
        <is>
          <t>x</t>
        </is>
      </c>
      <c r="J39" s="14" t="n"/>
      <c r="L39" s="40" t="n"/>
      <c r="N39" s="42" t="inlineStr">
        <is>
          <t>Noruega</t>
        </is>
      </c>
      <c r="O39" s="26" t="n"/>
      <c r="P39" s="21" t="inlineStr">
        <is>
          <t>17/06/2026 - 10:00</t>
        </is>
      </c>
      <c r="Q39" s="39" t="inlineStr">
        <is>
          <t>Argentina</t>
        </is>
      </c>
      <c r="S39" s="40" t="n"/>
      <c r="U39" s="14" t="n"/>
      <c r="V39" s="41" t="inlineStr">
        <is>
          <t>x</t>
        </is>
      </c>
      <c r="W39" s="14" t="n"/>
      <c r="Y39" s="40" t="n"/>
      <c r="AA39" s="42" t="inlineStr">
        <is>
          <t>Argélia</t>
        </is>
      </c>
      <c r="AB39" s="26" t="n"/>
      <c r="AC39" s="26" t="n"/>
    </row>
    <row r="40" ht="16.15" customHeight="1">
      <c r="A40" s="26" t="n"/>
      <c r="B40" s="26" t="n"/>
      <c r="C40" s="21" t="inlineStr">
        <is>
          <t>23/06/2026 - 06:00</t>
        </is>
      </c>
      <c r="D40" s="39" t="inlineStr">
        <is>
          <t>França</t>
        </is>
      </c>
      <c r="F40" s="40" t="n"/>
      <c r="H40" s="14" t="n"/>
      <c r="I40" s="41" t="inlineStr">
        <is>
          <t>x</t>
        </is>
      </c>
      <c r="J40" s="14" t="n"/>
      <c r="L40" s="40" t="n"/>
      <c r="N40" s="42">
        <f>IF(Repescagem!D9="","Intercontinental 2",Repescagem!D9)</f>
        <v/>
      </c>
      <c r="O40" s="26" t="n"/>
      <c r="P40" s="21" t="inlineStr">
        <is>
          <t>23/06/2026 - 02:00</t>
        </is>
      </c>
      <c r="Q40" s="39" t="inlineStr">
        <is>
          <t>Argentina</t>
        </is>
      </c>
      <c r="S40" s="40" t="n"/>
      <c r="U40" s="14" t="n"/>
      <c r="V40" s="41" t="inlineStr">
        <is>
          <t>x</t>
        </is>
      </c>
      <c r="W40" s="14" t="n"/>
      <c r="Y40" s="40" t="n"/>
      <c r="AA40" s="42" t="inlineStr">
        <is>
          <t>Áustria</t>
        </is>
      </c>
      <c r="AB40" s="26" t="n"/>
      <c r="AC40" s="26" t="n"/>
    </row>
    <row r="41" ht="16.15" customHeight="1">
      <c r="A41" s="26" t="n"/>
      <c r="B41" s="26" t="n"/>
      <c r="C41" s="21" t="inlineStr">
        <is>
          <t>23/06/2026 - 09:00</t>
        </is>
      </c>
      <c r="D41" s="39" t="inlineStr">
        <is>
          <t>Noruega</t>
        </is>
      </c>
      <c r="F41" s="40" t="n"/>
      <c r="H41" s="14" t="n"/>
      <c r="I41" s="41" t="inlineStr">
        <is>
          <t>x</t>
        </is>
      </c>
      <c r="J41" s="14" t="n"/>
      <c r="L41" s="40" t="n"/>
      <c r="N41" s="42" t="inlineStr">
        <is>
          <t>Senegal</t>
        </is>
      </c>
      <c r="O41" s="26" t="n"/>
      <c r="P41" s="21" t="inlineStr">
        <is>
          <t>23/06/2026 - 12:00</t>
        </is>
      </c>
      <c r="Q41" s="39" t="inlineStr">
        <is>
          <t>Jordânia</t>
        </is>
      </c>
      <c r="S41" s="40" t="n"/>
      <c r="U41" s="14" t="n"/>
      <c r="V41" s="41" t="inlineStr">
        <is>
          <t>x</t>
        </is>
      </c>
      <c r="W41" s="14" t="n"/>
      <c r="Y41" s="40" t="n"/>
      <c r="AA41" s="42" t="inlineStr">
        <is>
          <t>Argélia</t>
        </is>
      </c>
      <c r="AB41" s="26" t="n"/>
      <c r="AC41" s="26" t="n"/>
    </row>
    <row r="42" ht="16.15" customHeight="1">
      <c r="A42" s="26" t="n"/>
      <c r="B42" s="26" t="n"/>
      <c r="C42" s="21" t="inlineStr">
        <is>
          <t>27/06/2026 - 04:00</t>
        </is>
      </c>
      <c r="D42" s="39" t="inlineStr">
        <is>
          <t>Noruega</t>
        </is>
      </c>
      <c r="F42" s="40" t="n"/>
      <c r="H42" s="14" t="n"/>
      <c r="I42" s="41" t="inlineStr">
        <is>
          <t>x</t>
        </is>
      </c>
      <c r="J42" s="14" t="n"/>
      <c r="L42" s="40" t="n"/>
      <c r="N42" s="42" t="inlineStr">
        <is>
          <t>França</t>
        </is>
      </c>
      <c r="O42" s="26" t="n"/>
      <c r="P42" s="21" t="inlineStr">
        <is>
          <t>28/06/2026 - 11:00</t>
        </is>
      </c>
      <c r="Q42" s="39" t="inlineStr">
        <is>
          <t>Argélia</t>
        </is>
      </c>
      <c r="S42" s="40" t="n"/>
      <c r="U42" s="14" t="n"/>
      <c r="V42" s="41" t="inlineStr">
        <is>
          <t>x</t>
        </is>
      </c>
      <c r="W42" s="14" t="n"/>
      <c r="Y42" s="40" t="n"/>
      <c r="AA42" s="42" t="inlineStr">
        <is>
          <t>Áustria</t>
        </is>
      </c>
      <c r="AB42" s="26" t="n"/>
      <c r="AC42" s="26" t="n"/>
    </row>
    <row r="43" ht="16.15" customHeight="1" thickBot="1">
      <c r="A43" s="26" t="n"/>
      <c r="B43" s="26" t="n"/>
      <c r="C43" s="22" t="inlineStr">
        <is>
          <t>27/06/2026 - 04:00</t>
        </is>
      </c>
      <c r="D43" s="43" t="inlineStr">
        <is>
          <t>Senegal</t>
        </is>
      </c>
      <c r="E43" s="44" t="n"/>
      <c r="F43" s="45" t="n"/>
      <c r="G43" s="44" t="n"/>
      <c r="H43" s="15" t="n"/>
      <c r="I43" s="46" t="inlineStr">
        <is>
          <t>x</t>
        </is>
      </c>
      <c r="J43" s="15" t="n"/>
      <c r="K43" s="44" t="n"/>
      <c r="L43" s="45" t="n"/>
      <c r="M43" s="44" t="n"/>
      <c r="N43" s="47">
        <f>IF(Repescagem!D9="","Intercontinental 2",Repescagem!D9)</f>
        <v/>
      </c>
      <c r="O43" s="26" t="n"/>
      <c r="P43" s="22" t="inlineStr">
        <is>
          <t>28/06/2026 - 11:00</t>
        </is>
      </c>
      <c r="Q43" s="43" t="inlineStr">
        <is>
          <t>Jordânia</t>
        </is>
      </c>
      <c r="R43" s="44" t="n"/>
      <c r="S43" s="45" t="n"/>
      <c r="T43" s="44" t="n"/>
      <c r="U43" s="15" t="n"/>
      <c r="V43" s="46" t="inlineStr">
        <is>
          <t>x</t>
        </is>
      </c>
      <c r="W43" s="15" t="n"/>
      <c r="X43" s="44" t="n"/>
      <c r="Y43" s="45" t="n"/>
      <c r="Z43" s="44" t="n"/>
      <c r="AA43" s="47" t="inlineStr">
        <is>
          <t>Argentina</t>
        </is>
      </c>
      <c r="AB43" s="26" t="n"/>
      <c r="AC43" s="26" t="n"/>
    </row>
    <row r="44" ht="4.9" customHeight="1" thickBot="1" thickTop="1">
      <c r="A44" s="26" t="n"/>
      <c r="B44" s="26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26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26" t="n"/>
      <c r="AC44" s="26" t="n"/>
    </row>
    <row r="45" ht="18" customHeight="1" thickBot="1">
      <c r="A45" s="26" t="n"/>
      <c r="B45" s="26" t="n"/>
      <c r="C45" s="128" t="inlineStr">
        <is>
          <t>GRUPO K</t>
        </is>
      </c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30" t="n"/>
      <c r="O45" s="26" t="n"/>
      <c r="P45" s="128" t="inlineStr">
        <is>
          <t>GRUPO L</t>
        </is>
      </c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30" t="n"/>
      <c r="AB45" s="26" t="n"/>
      <c r="AC45" s="26" t="n"/>
    </row>
    <row r="46" ht="16.15" customHeight="1" thickTop="1">
      <c r="A46" s="26" t="n"/>
      <c r="B46" s="26" t="n"/>
      <c r="C46" s="20" t="inlineStr">
        <is>
          <t>18/06/2026 - 02:00</t>
        </is>
      </c>
      <c r="D46" s="34" t="inlineStr">
        <is>
          <t>Portugal</t>
        </is>
      </c>
      <c r="E46" s="35" t="n"/>
      <c r="F46" s="36" t="n"/>
      <c r="G46" s="35" t="n"/>
      <c r="H46" s="13" t="n"/>
      <c r="I46" s="37" t="inlineStr">
        <is>
          <t>x</t>
        </is>
      </c>
      <c r="J46" s="13" t="n"/>
      <c r="K46" s="35" t="n"/>
      <c r="L46" s="36" t="n"/>
      <c r="M46" s="35" t="n"/>
      <c r="N46" s="38">
        <f>IF(Repescagem!D8="","Intercontinental 1",Repescagem!D8)</f>
        <v/>
      </c>
      <c r="O46" s="26" t="n"/>
      <c r="P46" s="20" t="inlineStr">
        <is>
          <t>18/06/2026 - 05:00</t>
        </is>
      </c>
      <c r="Q46" s="34" t="inlineStr">
        <is>
          <t>Inglaterra</t>
        </is>
      </c>
      <c r="R46" s="35" t="n"/>
      <c r="S46" s="36" t="n"/>
      <c r="T46" s="35" t="n"/>
      <c r="U46" s="13" t="n"/>
      <c r="V46" s="37" t="inlineStr">
        <is>
          <t>x</t>
        </is>
      </c>
      <c r="W46" s="13" t="n"/>
      <c r="X46" s="35" t="n"/>
      <c r="Y46" s="36" t="n"/>
      <c r="Z46" s="35" t="n"/>
      <c r="AA46" s="38" t="inlineStr">
        <is>
          <t>Croácia</t>
        </is>
      </c>
      <c r="AB46" s="26" t="n"/>
      <c r="AC46" s="26" t="n"/>
    </row>
    <row r="47" ht="16.15" customHeight="1">
      <c r="A47" s="26" t="n"/>
      <c r="B47" s="26" t="n"/>
      <c r="C47" s="21" t="inlineStr">
        <is>
          <t>18/06/2026 - 11:00</t>
        </is>
      </c>
      <c r="D47" s="39" t="inlineStr">
        <is>
          <t>Uzbequistão</t>
        </is>
      </c>
      <c r="F47" s="40" t="n"/>
      <c r="H47" s="14" t="n"/>
      <c r="I47" s="41" t="inlineStr">
        <is>
          <t>x</t>
        </is>
      </c>
      <c r="J47" s="14" t="n"/>
      <c r="L47" s="40" t="n"/>
      <c r="N47" s="42" t="inlineStr">
        <is>
          <t>Colômbia</t>
        </is>
      </c>
      <c r="O47" s="26" t="n"/>
      <c r="P47" s="21" t="inlineStr">
        <is>
          <t>18/06/2026 - 08:00</t>
        </is>
      </c>
      <c r="Q47" s="39" t="inlineStr">
        <is>
          <t>Gana</t>
        </is>
      </c>
      <c r="S47" s="40" t="n"/>
      <c r="U47" s="14" t="n"/>
      <c r="V47" s="41" t="inlineStr">
        <is>
          <t>x</t>
        </is>
      </c>
      <c r="W47" s="14" t="n"/>
      <c r="Y47" s="40" t="n"/>
      <c r="AA47" s="42" t="inlineStr">
        <is>
          <t>Panamá</t>
        </is>
      </c>
      <c r="AB47" s="26" t="n"/>
      <c r="AC47" s="26" t="n"/>
    </row>
    <row r="48" ht="16.15" customHeight="1">
      <c r="A48" s="26" t="n"/>
      <c r="B48" s="26" t="n"/>
      <c r="C48" s="21" t="inlineStr">
        <is>
          <t>24/06/2026 - 02:00</t>
        </is>
      </c>
      <c r="D48" s="39" t="inlineStr">
        <is>
          <t>Portugal</t>
        </is>
      </c>
      <c r="F48" s="40" t="n"/>
      <c r="H48" s="14" t="n"/>
      <c r="I48" s="41" t="inlineStr">
        <is>
          <t>x</t>
        </is>
      </c>
      <c r="J48" s="14" t="n"/>
      <c r="L48" s="40" t="n"/>
      <c r="N48" s="42" t="inlineStr">
        <is>
          <t>Uzbequistão</t>
        </is>
      </c>
      <c r="O48" s="26" t="n"/>
      <c r="P48" s="21" t="inlineStr">
        <is>
          <t>24/06/2026 - 05:00</t>
        </is>
      </c>
      <c r="Q48" s="39" t="inlineStr">
        <is>
          <t>Inglaterra</t>
        </is>
      </c>
      <c r="S48" s="40" t="n"/>
      <c r="U48" s="14" t="n"/>
      <c r="V48" s="41" t="inlineStr">
        <is>
          <t>x</t>
        </is>
      </c>
      <c r="W48" s="14" t="n"/>
      <c r="Y48" s="40" t="n"/>
      <c r="AA48" s="42" t="inlineStr">
        <is>
          <t>Gana</t>
        </is>
      </c>
      <c r="AB48" s="26" t="n"/>
      <c r="AC48" s="26" t="n"/>
    </row>
    <row r="49" ht="16.15" customHeight="1">
      <c r="A49" s="26" t="n"/>
      <c r="B49" s="26" t="n"/>
      <c r="C49" s="21" t="inlineStr">
        <is>
          <t>24/06/2026 - 11:00</t>
        </is>
      </c>
      <c r="D49" s="39" t="inlineStr">
        <is>
          <t>Colômbia</t>
        </is>
      </c>
      <c r="F49" s="40" t="n"/>
      <c r="H49" s="14" t="n"/>
      <c r="I49" s="41" t="inlineStr">
        <is>
          <t>x</t>
        </is>
      </c>
      <c r="J49" s="14" t="n"/>
      <c r="L49" s="40" t="n"/>
      <c r="N49" s="42">
        <f>IF(Repescagem!D8="","Intercontinental 1",Repescagem!D8)</f>
        <v/>
      </c>
      <c r="O49" s="26" t="n"/>
      <c r="P49" s="21" t="inlineStr">
        <is>
          <t>24/06/2026 - 08:00</t>
        </is>
      </c>
      <c r="Q49" s="39" t="inlineStr">
        <is>
          <t>Panamá</t>
        </is>
      </c>
      <c r="S49" s="40" t="n"/>
      <c r="U49" s="14" t="n"/>
      <c r="V49" s="41" t="inlineStr">
        <is>
          <t>x</t>
        </is>
      </c>
      <c r="W49" s="14" t="n"/>
      <c r="Y49" s="40" t="n"/>
      <c r="AA49" s="42" t="inlineStr">
        <is>
          <t>Croácia</t>
        </is>
      </c>
      <c r="AB49" s="26" t="n"/>
      <c r="AC49" s="26" t="n"/>
    </row>
    <row r="50" ht="16.15" customHeight="1">
      <c r="A50" s="26" t="n"/>
      <c r="B50" s="26" t="n"/>
      <c r="C50" s="21" t="inlineStr">
        <is>
          <t>28/06/2026 - 08:30</t>
        </is>
      </c>
      <c r="D50" s="39" t="inlineStr">
        <is>
          <t>Colômbia</t>
        </is>
      </c>
      <c r="F50" s="40" t="n"/>
      <c r="H50" s="14" t="n"/>
      <c r="I50" s="41" t="inlineStr">
        <is>
          <t>x</t>
        </is>
      </c>
      <c r="J50" s="14" t="n"/>
      <c r="L50" s="40" t="n"/>
      <c r="N50" s="42" t="inlineStr">
        <is>
          <t>Portugal</t>
        </is>
      </c>
      <c r="O50" s="26" t="n"/>
      <c r="P50" s="21" t="inlineStr">
        <is>
          <t>28/06/2026 - 06:00</t>
        </is>
      </c>
      <c r="Q50" s="39" t="inlineStr">
        <is>
          <t>Panamá</t>
        </is>
      </c>
      <c r="S50" s="40" t="n"/>
      <c r="U50" s="14" t="n"/>
      <c r="V50" s="41" t="inlineStr">
        <is>
          <t>x</t>
        </is>
      </c>
      <c r="W50" s="14" t="n"/>
      <c r="Y50" s="40" t="n"/>
      <c r="AA50" s="42" t="inlineStr">
        <is>
          <t>Inglaterra</t>
        </is>
      </c>
      <c r="AB50" s="26" t="n"/>
      <c r="AC50" s="26" t="n"/>
    </row>
    <row r="51" ht="16.15" customHeight="1" thickBot="1">
      <c r="A51" s="26" t="n"/>
      <c r="B51" s="26" t="n"/>
      <c r="C51" s="22" t="inlineStr">
        <is>
          <t>28/06/2026 - 08:30</t>
        </is>
      </c>
      <c r="D51" s="43">
        <f>IF(Repescagem!D8="","Intercontinental 1",Repescagem!D8)</f>
        <v/>
      </c>
      <c r="E51" s="44" t="n"/>
      <c r="F51" s="45" t="n"/>
      <c r="G51" s="44" t="n"/>
      <c r="H51" s="15" t="n"/>
      <c r="I51" s="46" t="inlineStr">
        <is>
          <t>x</t>
        </is>
      </c>
      <c r="J51" s="15" t="n"/>
      <c r="K51" s="44" t="n"/>
      <c r="L51" s="45" t="n"/>
      <c r="M51" s="44" t="n"/>
      <c r="N51" s="47" t="inlineStr">
        <is>
          <t>Uzbequistão</t>
        </is>
      </c>
      <c r="O51" s="26" t="n"/>
      <c r="P51" s="22" t="inlineStr">
        <is>
          <t>28/06/2026 - 06:00</t>
        </is>
      </c>
      <c r="Q51" s="43" t="inlineStr">
        <is>
          <t>Croácia</t>
        </is>
      </c>
      <c r="R51" s="44" t="n"/>
      <c r="S51" s="45" t="n"/>
      <c r="T51" s="44" t="n"/>
      <c r="U51" s="15" t="n"/>
      <c r="V51" s="46" t="inlineStr">
        <is>
          <t>x</t>
        </is>
      </c>
      <c r="W51" s="15" t="n"/>
      <c r="X51" s="44" t="n"/>
      <c r="Y51" s="45" t="n"/>
      <c r="Z51" s="44" t="n"/>
      <c r="AA51" s="47" t="inlineStr">
        <is>
          <t>Gana</t>
        </is>
      </c>
      <c r="AB51" s="26" t="n"/>
      <c r="AC51" s="26" t="n"/>
    </row>
    <row r="52" ht="4.9" customHeight="1" thickTop="1">
      <c r="A52" s="26" t="n"/>
      <c r="B52" s="26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</row>
  </sheetData>
  <sheetProtection selectLockedCells="1" selectUnlockedCells="0" algorithmName="SHA-512" sheet="1" objects="1" insertRows="1" insertHyperlinks="1" autoFilter="1" scenarios="1" formatColumns="0" deleteColumns="1" insertColumns="1" pivotTables="1" deleteRows="1" formatCells="1" saltValue="gCUARlyMg7+dYmoohJlrww==" formatRows="0" sort="1" spinCount="100000" hashValue="SwZWtYO6mFBJsIOT19yxW+/8PLShapOM4XyrQqHboS0Yre321xWvXv24G/0/vrp2H7WlGcrrtm7CE0RedCP0cA=="/>
  <mergeCells count="13">
    <mergeCell ref="P29:AA29"/>
    <mergeCell ref="P21:AA21"/>
    <mergeCell ref="C2:AA2"/>
    <mergeCell ref="C5:N5"/>
    <mergeCell ref="C37:N37"/>
    <mergeCell ref="C45:N45"/>
    <mergeCell ref="C13:N13"/>
    <mergeCell ref="P13:AA13"/>
    <mergeCell ref="P37:AA37"/>
    <mergeCell ref="P5:AA5"/>
    <mergeCell ref="P45:AA45"/>
    <mergeCell ref="C29:N29"/>
    <mergeCell ref="C21:N21"/>
  </mergeCells>
  <printOptions horizontalCentered="1" verticalCentered="1"/>
  <pageMargins left="0.1181102362204725" right="0.1181102362204725" top="0.1181102362204725" bottom="0.1181102362204725" header="0.1181102362204725" footer="0.1181102362204725"/>
  <pageSetup orientation="landscape" paperSize="9" scale="75" fitToWidth="0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4">
    <outlinePr summaryBelow="1" summaryRight="1"/>
    <pageSetUpPr fitToPage="1"/>
  </sheetPr>
  <dimension ref="A1:AL37"/>
  <sheetViews>
    <sheetView showGridLines="0" zoomScaleNormal="100" workbookViewId="0">
      <selection activeCell="C7" sqref="C7"/>
    </sheetView>
  </sheetViews>
  <sheetFormatPr baseColWidth="8" defaultColWidth="8.75" defaultRowHeight="15"/>
  <cols>
    <col width="0.625" customWidth="1" style="55" min="1" max="1"/>
    <col width="0.375" customWidth="1" style="96" min="2" max="2"/>
    <col width="14" customWidth="1" style="55" min="3" max="3"/>
    <col width="3" customWidth="1" style="97" min="4" max="4"/>
    <col width="2" customWidth="1" style="97" min="5" max="5"/>
    <col width="2" customWidth="1" style="55" min="6" max="6"/>
    <col width="14" customWidth="1" style="55" min="7" max="7"/>
    <col width="3" customWidth="1" style="97" min="8" max="8"/>
    <col width="2" customWidth="1" style="97" min="9" max="9"/>
    <col width="2" customWidth="1" style="55" min="10" max="10"/>
    <col width="14" customWidth="1" style="55" min="11" max="11"/>
    <col width="3" customWidth="1" style="97" min="12" max="12"/>
    <col width="2" customWidth="1" style="97" min="13" max="13"/>
    <col width="2" customWidth="1" style="55" min="14" max="14"/>
    <col width="14" customWidth="1" style="55" min="15" max="15"/>
    <col width="3" customWidth="1" style="97" min="16" max="16"/>
    <col width="2" customWidth="1" style="97" min="17" max="17"/>
    <col width="2" customWidth="1" style="55" min="18" max="18"/>
    <col width="14" customWidth="1" style="55" min="19" max="19"/>
    <col width="3" customWidth="1" style="55" min="20" max="20"/>
    <col width="2" customWidth="1" style="97" min="21" max="21"/>
    <col width="2" customWidth="1" style="55" min="22" max="22"/>
    <col width="14" customWidth="1" style="55" min="23" max="23"/>
    <col width="2.875" customWidth="1" style="97" min="24" max="24"/>
    <col width="2" customWidth="1" style="97" min="25" max="25"/>
    <col width="2" customWidth="1" style="55" min="26" max="26"/>
    <col width="14" customWidth="1" style="55" min="27" max="27"/>
    <col width="3" customWidth="1" style="97" min="28" max="28"/>
    <col width="2" customWidth="1" style="55" min="29" max="30"/>
    <col width="14" customWidth="1" style="55" min="31" max="31"/>
    <col width="3" customWidth="1" style="97" min="32" max="32"/>
    <col width="2" customWidth="1" style="55" min="33" max="34"/>
    <col width="14" customWidth="1" style="55" min="35" max="35"/>
    <col width="3" customWidth="1" style="97" min="36" max="36"/>
    <col width="0.375" customWidth="1" style="98" min="37" max="37"/>
    <col width="0.625" customWidth="1" style="55" min="38" max="38"/>
    <col width="8.75" customWidth="1" style="55" min="39" max="16384"/>
  </cols>
  <sheetData>
    <row r="1" ht="3.6" customHeight="1">
      <c r="A1" s="51" t="n"/>
      <c r="B1" s="52" t="n"/>
      <c r="C1" s="51" t="n"/>
      <c r="D1" s="53" t="n"/>
      <c r="E1" s="53" t="n"/>
      <c r="F1" s="51" t="n"/>
      <c r="G1" s="51" t="n"/>
      <c r="H1" s="53" t="n"/>
      <c r="I1" s="53" t="n"/>
      <c r="J1" s="51" t="n"/>
      <c r="K1" s="51" t="n"/>
      <c r="L1" s="53" t="n"/>
      <c r="M1" s="53" t="n"/>
      <c r="N1" s="51" t="n"/>
      <c r="O1" s="51" t="n"/>
      <c r="P1" s="53" t="n"/>
      <c r="Q1" s="53" t="n"/>
      <c r="R1" s="51" t="n"/>
      <c r="S1" s="51" t="n"/>
      <c r="T1" s="51" t="n"/>
      <c r="U1" s="53" t="n"/>
      <c r="V1" s="51" t="n"/>
      <c r="W1" s="51" t="n"/>
      <c r="X1" s="53" t="n"/>
      <c r="Y1" s="53" t="n"/>
      <c r="Z1" s="51" t="n"/>
      <c r="AA1" s="51" t="n"/>
      <c r="AB1" s="53" t="n"/>
      <c r="AC1" s="51" t="n"/>
      <c r="AD1" s="51" t="n"/>
      <c r="AE1" s="51" t="n"/>
      <c r="AF1" s="53" t="n"/>
      <c r="AG1" s="51" t="n"/>
      <c r="AH1" s="51" t="n"/>
      <c r="AI1" s="51" t="n"/>
      <c r="AJ1" s="53" t="n"/>
      <c r="AK1" s="54" t="n"/>
      <c r="AL1" s="51" t="n"/>
    </row>
    <row r="2" ht="43.15" customHeight="1">
      <c r="A2" s="51" t="n"/>
      <c r="B2" s="123" t="inlineStr">
        <is>
          <t>COPA DO MUNDO 2026 - FASE DE MATA-MATA</t>
        </is>
      </c>
      <c r="AL2" s="51" t="n"/>
    </row>
    <row r="3" ht="3" customHeight="1">
      <c r="A3" s="51" t="n"/>
      <c r="B3" s="56" t="n"/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  <c r="Z3" s="57" t="n"/>
      <c r="AA3" s="57" t="n"/>
      <c r="AB3" s="57" t="n"/>
      <c r="AC3" s="57" t="n"/>
      <c r="AD3" s="57" t="n"/>
      <c r="AE3" s="57" t="n"/>
      <c r="AF3" s="57" t="n"/>
      <c r="AG3" s="57" t="n"/>
      <c r="AH3" s="57" t="n"/>
      <c r="AI3" s="57" t="n"/>
      <c r="AJ3" s="57" t="n"/>
      <c r="AK3" s="58" t="n"/>
      <c r="AL3" s="51" t="n"/>
    </row>
    <row r="4" ht="17.45" customHeight="1" thickBot="1">
      <c r="A4" s="51" t="n"/>
      <c r="B4" s="52" t="n"/>
      <c r="C4" s="51" t="n"/>
      <c r="D4" s="53" t="n"/>
      <c r="E4" s="53" t="n"/>
      <c r="F4" s="51" t="n"/>
      <c r="G4" s="51" t="n"/>
      <c r="H4" s="53" t="n"/>
      <c r="I4" s="53" t="n"/>
      <c r="J4" s="51" t="n"/>
      <c r="K4" s="51" t="n"/>
      <c r="L4" s="53" t="n"/>
      <c r="M4" s="53" t="n"/>
      <c r="N4" s="51" t="n"/>
      <c r="O4" s="51" t="n"/>
      <c r="P4" s="53" t="n"/>
      <c r="Q4" s="53" t="n"/>
      <c r="R4" s="59" t="n"/>
      <c r="S4" s="51" t="n"/>
      <c r="T4" s="51" t="n"/>
      <c r="U4" s="53" t="n"/>
      <c r="V4" s="51" t="n"/>
      <c r="W4" s="51" t="n"/>
      <c r="X4" s="53" t="n"/>
      <c r="Y4" s="53" t="n"/>
      <c r="Z4" s="51" t="n"/>
      <c r="AA4" s="60" t="n"/>
      <c r="AB4" s="59" t="n"/>
      <c r="AC4" s="51" t="n"/>
      <c r="AD4" s="51" t="n"/>
      <c r="AE4" s="60" t="n"/>
      <c r="AF4" s="59" t="n"/>
      <c r="AG4" s="51" t="n"/>
      <c r="AH4" s="51" t="n"/>
      <c r="AI4" s="60" t="n"/>
      <c r="AJ4" s="59" t="n"/>
      <c r="AK4" s="54" t="n"/>
      <c r="AL4" s="51" t="n"/>
    </row>
    <row r="5" ht="17.45" customHeight="1" thickBot="1">
      <c r="A5" s="51" t="n"/>
      <c r="B5" s="52" t="n"/>
      <c r="C5" s="113" t="inlineStr">
        <is>
          <t>Fase de 32</t>
        </is>
      </c>
      <c r="D5" s="131" t="n"/>
      <c r="E5" s="59" t="n"/>
      <c r="F5" s="51" t="n"/>
      <c r="G5" s="51" t="n"/>
      <c r="H5" s="53" t="n"/>
      <c r="I5" s="53" t="n"/>
      <c r="J5" s="51" t="n"/>
      <c r="K5" s="51" t="n"/>
      <c r="L5" s="53" t="n"/>
      <c r="M5" s="53" t="n"/>
      <c r="N5" s="51" t="n"/>
      <c r="O5" s="51" t="n"/>
      <c r="P5" s="53" t="n"/>
      <c r="Q5" s="53" t="n"/>
      <c r="R5" s="51" t="n"/>
      <c r="S5" s="51" t="n"/>
      <c r="T5" s="51" t="n"/>
      <c r="U5" s="53" t="n"/>
      <c r="V5" s="51" t="n"/>
      <c r="W5" s="51" t="n"/>
      <c r="X5" s="53" t="n"/>
      <c r="Y5" s="53" t="n"/>
      <c r="Z5" s="51" t="n"/>
      <c r="AA5" s="51" t="n"/>
      <c r="AB5" s="53" t="n"/>
      <c r="AC5" s="51" t="n"/>
      <c r="AD5" s="51" t="n"/>
      <c r="AE5" s="51" t="n"/>
      <c r="AF5" s="53" t="n"/>
      <c r="AG5" s="51" t="n"/>
      <c r="AH5" s="51" t="n"/>
      <c r="AI5" s="113" t="inlineStr">
        <is>
          <t>Fase de 32</t>
        </is>
      </c>
      <c r="AJ5" s="131" t="n"/>
      <c r="AK5" s="54" t="n"/>
      <c r="AL5" s="51" t="n"/>
    </row>
    <row r="6" ht="17.45" customHeight="1" thickBot="1">
      <c r="A6" s="51" t="n"/>
      <c r="B6" s="52" t="n"/>
      <c r="C6" s="132" t="n">
        <v>46202.5</v>
      </c>
      <c r="D6" s="61" t="n">
        <v>74</v>
      </c>
      <c r="E6" s="122" t="n"/>
      <c r="F6" s="51" t="n"/>
      <c r="G6" s="51" t="n"/>
      <c r="H6" s="53" t="n"/>
      <c r="I6" s="53" t="n"/>
      <c r="J6" s="51" t="n"/>
      <c r="K6" s="51" t="n"/>
      <c r="L6" s="53" t="n"/>
      <c r="M6" s="53" t="n"/>
      <c r="N6" s="51" t="n"/>
      <c r="O6" s="51" t="n"/>
      <c r="P6" s="53" t="n"/>
      <c r="Q6" s="53" t="n"/>
      <c r="R6" s="51" t="n"/>
      <c r="S6" s="51" t="n"/>
      <c r="T6" s="51" t="n"/>
      <c r="U6" s="53" t="n"/>
      <c r="V6" s="51" t="n"/>
      <c r="W6" s="51" t="n"/>
      <c r="X6" s="53" t="n"/>
      <c r="Y6" s="53" t="n"/>
      <c r="Z6" s="51" t="n"/>
      <c r="AA6" s="51" t="n"/>
      <c r="AB6" s="53" t="n"/>
      <c r="AC6" s="51" t="n"/>
      <c r="AD6" s="51" t="n"/>
      <c r="AE6" s="51" t="n"/>
      <c r="AF6" s="53" t="n"/>
      <c r="AG6" s="51" t="n"/>
      <c r="AH6" s="51" t="n"/>
      <c r="AI6" s="132" t="n">
        <v>46202.5</v>
      </c>
      <c r="AJ6" s="61" t="n">
        <v>76</v>
      </c>
      <c r="AK6" s="54" t="n"/>
      <c r="AL6" s="51" t="n"/>
    </row>
    <row r="7" ht="17.45" customHeight="1" thickBot="1">
      <c r="A7" s="51" t="n"/>
      <c r="B7" s="52" t="n"/>
      <c r="C7" s="99" t="n"/>
      <c r="D7" s="16" t="n"/>
      <c r="E7" s="63" t="n"/>
      <c r="F7" s="51" t="n"/>
      <c r="G7" s="113" t="inlineStr">
        <is>
          <t>Oitavas de Final</t>
        </is>
      </c>
      <c r="H7" s="131" t="n"/>
      <c r="I7" s="59" t="n"/>
      <c r="J7" s="51" t="n"/>
      <c r="K7" s="51" t="n"/>
      <c r="L7" s="53" t="n"/>
      <c r="M7" s="53" t="n"/>
      <c r="N7" s="51" t="n"/>
      <c r="O7" s="51" t="n"/>
      <c r="P7" s="53" t="n"/>
      <c r="Q7" s="53" t="n"/>
      <c r="R7" s="51" t="n"/>
      <c r="S7" s="51" t="n"/>
      <c r="T7" s="51" t="n"/>
      <c r="U7" s="53" t="n"/>
      <c r="V7" s="51" t="n"/>
      <c r="W7" s="51" t="n"/>
      <c r="X7" s="53" t="n"/>
      <c r="Y7" s="53" t="n"/>
      <c r="Z7" s="51" t="n"/>
      <c r="AA7" s="51" t="n"/>
      <c r="AB7" s="53" t="n"/>
      <c r="AC7" s="51" t="n"/>
      <c r="AD7" s="51" t="n"/>
      <c r="AE7" s="113" t="inlineStr">
        <is>
          <t>Oitavas de Final</t>
        </is>
      </c>
      <c r="AF7" s="131" t="n"/>
      <c r="AG7" s="51" t="n"/>
      <c r="AH7" s="51" t="n"/>
      <c r="AI7" s="99" t="n"/>
      <c r="AJ7" s="16" t="n"/>
      <c r="AK7" s="54" t="n"/>
      <c r="AL7" s="51" t="n"/>
    </row>
    <row r="8" ht="17.45" customHeight="1" thickBot="1">
      <c r="A8" s="51" t="n"/>
      <c r="B8" s="52" t="n"/>
      <c r="C8" s="100" t="n"/>
      <c r="D8" s="17" t="n"/>
      <c r="E8" s="64" t="n"/>
      <c r="F8" s="65" t="n"/>
      <c r="G8" s="132" t="n">
        <v>46207.5</v>
      </c>
      <c r="H8" s="61" t="n">
        <v>89</v>
      </c>
      <c r="I8" s="122" t="n"/>
      <c r="J8" s="51" t="n"/>
      <c r="K8" s="51" t="n"/>
      <c r="L8" s="53" t="n"/>
      <c r="M8" s="53" t="n"/>
      <c r="N8" s="51" t="n"/>
      <c r="O8" s="51" t="n"/>
      <c r="P8" s="53" t="n"/>
      <c r="Q8" s="53" t="n"/>
      <c r="R8" s="51" t="n"/>
      <c r="S8" s="51" t="n"/>
      <c r="T8" s="51" t="n"/>
      <c r="U8" s="53" t="n"/>
      <c r="V8" s="51" t="n"/>
      <c r="W8" s="51" t="n"/>
      <c r="X8" s="53" t="n"/>
      <c r="Y8" s="53" t="n"/>
      <c r="Z8" s="51" t="n"/>
      <c r="AA8" s="51" t="n"/>
      <c r="AB8" s="53" t="n"/>
      <c r="AC8" s="51" t="n"/>
      <c r="AD8" s="51" t="n"/>
      <c r="AE8" s="132" t="n">
        <v>46208.5</v>
      </c>
      <c r="AF8" s="61" t="n">
        <v>91</v>
      </c>
      <c r="AG8" s="51" t="n"/>
      <c r="AH8" s="66" t="n"/>
      <c r="AI8" s="100" t="n"/>
      <c r="AJ8" s="17" t="n"/>
      <c r="AK8" s="54" t="n"/>
      <c r="AL8" s="51" t="n"/>
    </row>
    <row r="9" ht="17.45" customHeight="1" thickBot="1">
      <c r="A9" s="51" t="n"/>
      <c r="B9" s="52" t="n"/>
      <c r="C9" s="67" t="n"/>
      <c r="D9" s="53" t="n"/>
      <c r="E9" s="68" t="n"/>
      <c r="F9" s="69" t="n"/>
      <c r="G9" s="99" t="n"/>
      <c r="H9" s="16" t="n"/>
      <c r="I9" s="63" t="n"/>
      <c r="J9" s="51" t="n"/>
      <c r="K9" s="51" t="n"/>
      <c r="L9" s="53" t="n"/>
      <c r="M9" s="53" t="n"/>
      <c r="N9" s="51" t="n"/>
      <c r="O9" s="51" t="n"/>
      <c r="P9" s="53" t="n"/>
      <c r="Q9" s="53" t="n"/>
      <c r="R9" s="51" t="n"/>
      <c r="S9" s="51" t="n"/>
      <c r="T9" s="51" t="n"/>
      <c r="U9" s="53" t="n"/>
      <c r="V9" s="51" t="n"/>
      <c r="W9" s="51" t="n"/>
      <c r="X9" s="53" t="n"/>
      <c r="Y9" s="53" t="n"/>
      <c r="Z9" s="51" t="n"/>
      <c r="AA9" s="51" t="n"/>
      <c r="AB9" s="53" t="n"/>
      <c r="AC9" s="51" t="n"/>
      <c r="AD9" s="51" t="n"/>
      <c r="AE9" s="99" t="n"/>
      <c r="AF9" s="16" t="n"/>
      <c r="AG9" s="70" t="n"/>
      <c r="AH9" s="71" t="n"/>
      <c r="AI9" s="67" t="n"/>
      <c r="AJ9" s="53" t="n"/>
      <c r="AK9" s="54" t="n"/>
      <c r="AL9" s="51" t="n"/>
    </row>
    <row r="10" ht="17.45" customHeight="1" thickBot="1">
      <c r="A10" s="51" t="n"/>
      <c r="B10" s="52" t="n"/>
      <c r="C10" s="133" t="n">
        <v>46203.5</v>
      </c>
      <c r="D10" s="72" t="n">
        <v>77</v>
      </c>
      <c r="E10" s="73" t="n"/>
      <c r="F10" s="65" t="n"/>
      <c r="G10" s="100" t="n"/>
      <c r="H10" s="17" t="n"/>
      <c r="I10" s="74" t="n"/>
      <c r="J10" s="51" t="n"/>
      <c r="K10" s="51" t="n"/>
      <c r="L10" s="53" t="n"/>
      <c r="M10" s="53" t="n"/>
      <c r="N10" s="51" t="n"/>
      <c r="O10" s="51" t="n"/>
      <c r="P10" s="53" t="n"/>
      <c r="Q10" s="53" t="n"/>
      <c r="R10" s="51" t="n"/>
      <c r="S10" s="51" t="n"/>
      <c r="T10" s="51" t="n"/>
      <c r="U10" s="53" t="n"/>
      <c r="V10" s="51" t="n"/>
      <c r="W10" s="51" t="n"/>
      <c r="X10" s="53" t="n"/>
      <c r="Y10" s="53" t="n"/>
      <c r="Z10" s="51" t="n"/>
      <c r="AA10" s="51" t="n"/>
      <c r="AB10" s="53" t="n"/>
      <c r="AC10" s="51" t="n"/>
      <c r="AD10" s="66" t="n"/>
      <c r="AE10" s="100" t="n"/>
      <c r="AF10" s="17" t="n"/>
      <c r="AG10" s="51" t="n"/>
      <c r="AH10" s="71" t="n"/>
      <c r="AI10" s="133" t="n">
        <v>46203.5</v>
      </c>
      <c r="AJ10" s="72" t="n">
        <v>78</v>
      </c>
      <c r="AK10" s="54" t="n"/>
      <c r="AL10" s="51" t="n"/>
    </row>
    <row r="11" ht="17.45" customHeight="1" thickBot="1">
      <c r="A11" s="51" t="n"/>
      <c r="B11" s="52" t="n"/>
      <c r="C11" s="99" t="n"/>
      <c r="D11" s="16" t="n"/>
      <c r="E11" s="68" t="n"/>
      <c r="F11" s="75" t="n"/>
      <c r="G11" s="76" t="n"/>
      <c r="H11" s="53" t="n"/>
      <c r="I11" s="77" t="n"/>
      <c r="J11" s="51" t="n"/>
      <c r="K11" s="113" t="inlineStr">
        <is>
          <t>Quartas de Final</t>
        </is>
      </c>
      <c r="L11" s="131" t="n"/>
      <c r="M11" s="59" t="n"/>
      <c r="N11" s="51" t="n"/>
      <c r="O11" s="51" t="n"/>
      <c r="P11" s="53" t="n"/>
      <c r="Q11" s="53" t="n"/>
      <c r="R11" s="51" t="n"/>
      <c r="S11" s="51" t="n"/>
      <c r="T11" s="51" t="n"/>
      <c r="U11" s="53" t="n"/>
      <c r="V11" s="51" t="n"/>
      <c r="W11" s="51" t="n"/>
      <c r="X11" s="53" t="n"/>
      <c r="Y11" s="53" t="n"/>
      <c r="Z11" s="51" t="n"/>
      <c r="AA11" s="113" t="inlineStr">
        <is>
          <t>Quartas de Final</t>
        </is>
      </c>
      <c r="AB11" s="131" t="n"/>
      <c r="AC11" s="51" t="n"/>
      <c r="AD11" s="71" t="n"/>
      <c r="AE11" s="51" t="n"/>
      <c r="AF11" s="53" t="n"/>
      <c r="AG11" s="51" t="n"/>
      <c r="AH11" s="78" t="n"/>
      <c r="AI11" s="99" t="n"/>
      <c r="AJ11" s="16" t="n"/>
      <c r="AK11" s="54" t="n"/>
      <c r="AL11" s="51" t="n"/>
    </row>
    <row r="12" ht="17.45" customHeight="1" thickBot="1">
      <c r="A12" s="51" t="n"/>
      <c r="B12" s="52" t="n"/>
      <c r="C12" s="100" t="n"/>
      <c r="D12" s="17" t="n"/>
      <c r="E12" s="79" t="n"/>
      <c r="F12" s="51" t="n"/>
      <c r="G12" s="51" t="n"/>
      <c r="H12" s="53" t="n"/>
      <c r="I12" s="77" t="n"/>
      <c r="J12" s="51" t="n"/>
      <c r="K12" s="132" t="n">
        <v>46212.5</v>
      </c>
      <c r="L12" s="61" t="n">
        <v>97</v>
      </c>
      <c r="M12" s="122" t="n"/>
      <c r="N12" s="51" t="n"/>
      <c r="O12" s="51" t="n"/>
      <c r="P12" s="53" t="n"/>
      <c r="Q12" s="53" t="n"/>
      <c r="R12" s="51" t="n"/>
      <c r="S12" s="51" t="n"/>
      <c r="T12" s="51" t="n"/>
      <c r="U12" s="53" t="n"/>
      <c r="V12" s="51" t="n"/>
      <c r="W12" s="51" t="n"/>
      <c r="X12" s="53" t="n"/>
      <c r="Y12" s="53" t="n"/>
      <c r="Z12" s="51" t="n"/>
      <c r="AA12" s="132" t="n">
        <v>46215.5</v>
      </c>
      <c r="AB12" s="61" t="n">
        <v>99</v>
      </c>
      <c r="AC12" s="51" t="n"/>
      <c r="AD12" s="71" t="n"/>
      <c r="AE12" s="51" t="n"/>
      <c r="AF12" s="53" t="n"/>
      <c r="AG12" s="51" t="n"/>
      <c r="AH12" s="51" t="n"/>
      <c r="AI12" s="100" t="n"/>
      <c r="AJ12" s="17" t="n"/>
      <c r="AK12" s="54" t="n"/>
      <c r="AL12" s="51" t="n"/>
    </row>
    <row r="13" ht="17.45" customHeight="1" thickBot="1">
      <c r="A13" s="51" t="n"/>
      <c r="B13" s="52" t="n"/>
      <c r="C13" s="67" t="n"/>
      <c r="D13" s="53" t="n"/>
      <c r="E13" s="53" t="n"/>
      <c r="F13" s="51" t="n"/>
      <c r="G13" s="51" t="n"/>
      <c r="H13" s="53" t="n"/>
      <c r="I13" s="77" t="n"/>
      <c r="J13" s="80" t="n"/>
      <c r="K13" s="99" t="n"/>
      <c r="L13" s="16" t="n"/>
      <c r="M13" s="63" t="n"/>
      <c r="N13" s="51" t="n"/>
      <c r="O13" s="51" t="n"/>
      <c r="P13" s="53" t="n"/>
      <c r="Q13" s="53" t="n"/>
      <c r="R13" s="51" t="n"/>
      <c r="S13" s="51" t="n"/>
      <c r="T13" s="51" t="n"/>
      <c r="U13" s="53" t="n"/>
      <c r="V13" s="51" t="n"/>
      <c r="W13" s="51" t="n"/>
      <c r="X13" s="53" t="n"/>
      <c r="Y13" s="53" t="n"/>
      <c r="Z13" s="51" t="n"/>
      <c r="AA13" s="99" t="n"/>
      <c r="AB13" s="16" t="n"/>
      <c r="AC13" s="81" t="n"/>
      <c r="AD13" s="71" t="n"/>
      <c r="AE13" s="51" t="n"/>
      <c r="AF13" s="53" t="n"/>
      <c r="AG13" s="51" t="n"/>
      <c r="AH13" s="51" t="n"/>
      <c r="AI13" s="67" t="n"/>
      <c r="AJ13" s="53" t="n"/>
      <c r="AK13" s="54" t="n"/>
      <c r="AL13" s="51" t="n"/>
    </row>
    <row r="14" ht="17.45" customHeight="1" thickBot="1">
      <c r="A14" s="51" t="n"/>
      <c r="B14" s="52" t="n"/>
      <c r="C14" s="133" t="n">
        <v>46201.5</v>
      </c>
      <c r="D14" s="72" t="n">
        <v>73</v>
      </c>
      <c r="E14" s="122" t="n"/>
      <c r="F14" s="51" t="n"/>
      <c r="G14" s="51" t="n"/>
      <c r="H14" s="53" t="n"/>
      <c r="I14" s="77" t="n"/>
      <c r="J14" s="51" t="n"/>
      <c r="K14" s="100" t="n"/>
      <c r="L14" s="17" t="n"/>
      <c r="M14" s="74" t="n"/>
      <c r="N14" s="51" t="n"/>
      <c r="O14" s="51" t="n"/>
      <c r="P14" s="53" t="n"/>
      <c r="Q14" s="134" t="inlineStr">
        <is>
          <t>CAMPEÃO</t>
        </is>
      </c>
      <c r="R14" s="135" t="n"/>
      <c r="S14" s="135" t="n"/>
      <c r="T14" s="135" t="n"/>
      <c r="U14" s="135" t="n"/>
      <c r="V14" s="136" t="n"/>
      <c r="W14" s="51" t="n"/>
      <c r="X14" s="53" t="n"/>
      <c r="Y14" s="53" t="n"/>
      <c r="Z14" s="66" t="n"/>
      <c r="AA14" s="100" t="n"/>
      <c r="AB14" s="17" t="n"/>
      <c r="AC14" s="51" t="n"/>
      <c r="AD14" s="71" t="n"/>
      <c r="AE14" s="51" t="n"/>
      <c r="AF14" s="53" t="n"/>
      <c r="AG14" s="51" t="n"/>
      <c r="AH14" s="51" t="n"/>
      <c r="AI14" s="133" t="n">
        <v>46203.5</v>
      </c>
      <c r="AJ14" s="72" t="n">
        <v>79</v>
      </c>
      <c r="AK14" s="54" t="n"/>
      <c r="AL14" s="51" t="n"/>
    </row>
    <row r="15" ht="17.45" customHeight="1" thickBot="1">
      <c r="A15" s="51" t="n"/>
      <c r="B15" s="52" t="n"/>
      <c r="C15" s="99" t="n"/>
      <c r="D15" s="16" t="n"/>
      <c r="E15" s="63" t="n"/>
      <c r="F15" s="51" t="n"/>
      <c r="G15" s="67" t="n"/>
      <c r="H15" s="53" t="n"/>
      <c r="I15" s="77" t="n"/>
      <c r="J15" s="51" t="n"/>
      <c r="K15" s="51" t="n"/>
      <c r="L15" s="53" t="n"/>
      <c r="M15" s="77" t="n"/>
      <c r="N15" s="51" t="n"/>
      <c r="O15" s="51" t="n"/>
      <c r="P15" s="53" t="n"/>
      <c r="Q15" s="137" t="n"/>
      <c r="R15" s="138" t="n"/>
      <c r="S15" s="138" t="n"/>
      <c r="T15" s="138" t="n"/>
      <c r="U15" s="138" t="n"/>
      <c r="V15" s="139" t="n"/>
      <c r="W15" s="51" t="n"/>
      <c r="X15" s="53" t="n"/>
      <c r="Y15" s="53" t="n"/>
      <c r="Z15" s="71" t="n"/>
      <c r="AA15" s="51" t="n"/>
      <c r="AB15" s="53" t="n"/>
      <c r="AC15" s="51" t="n"/>
      <c r="AD15" s="71" t="n"/>
      <c r="AE15" s="67" t="n"/>
      <c r="AF15" s="53" t="n"/>
      <c r="AG15" s="51" t="n"/>
      <c r="AH15" s="51" t="n"/>
      <c r="AI15" s="99" t="n"/>
      <c r="AJ15" s="16" t="n"/>
      <c r="AK15" s="54" t="n"/>
      <c r="AL15" s="51" t="n"/>
    </row>
    <row r="16" ht="17.45" customHeight="1" thickBot="1">
      <c r="A16" s="51" t="n"/>
      <c r="B16" s="52" t="n"/>
      <c r="C16" s="100" t="n"/>
      <c r="D16" s="17" t="n"/>
      <c r="E16" s="64" t="n"/>
      <c r="F16" s="65" t="n"/>
      <c r="G16" s="133" t="n">
        <v>46207.5</v>
      </c>
      <c r="H16" s="72" t="n">
        <v>90</v>
      </c>
      <c r="I16" s="82" t="n"/>
      <c r="J16" s="51" t="n"/>
      <c r="K16" s="51" t="n"/>
      <c r="L16" s="53" t="n"/>
      <c r="M16" s="77" t="n"/>
      <c r="N16" s="51" t="n"/>
      <c r="O16" s="51" t="n"/>
      <c r="P16" s="53" t="n"/>
      <c r="Q16" s="140" t="n"/>
      <c r="R16" s="141" t="n"/>
      <c r="S16" s="141" t="n"/>
      <c r="T16" s="141" t="n"/>
      <c r="U16" s="141" t="n"/>
      <c r="V16" s="142" t="n"/>
      <c r="W16" s="51" t="n"/>
      <c r="X16" s="53" t="n"/>
      <c r="Y16" s="53" t="n"/>
      <c r="Z16" s="71" t="n"/>
      <c r="AA16" s="51" t="n"/>
      <c r="AB16" s="53" t="n"/>
      <c r="AC16" s="51" t="n"/>
      <c r="AD16" s="71" t="n"/>
      <c r="AE16" s="133" t="n">
        <v>46208.5</v>
      </c>
      <c r="AF16" s="72" t="n">
        <v>92</v>
      </c>
      <c r="AG16" s="51" t="n"/>
      <c r="AH16" s="66" t="n"/>
      <c r="AI16" s="100" t="n"/>
      <c r="AJ16" s="17" t="n"/>
      <c r="AK16" s="54" t="n"/>
      <c r="AL16" s="51" t="n"/>
    </row>
    <row r="17" ht="17.45" customHeight="1" thickBot="1">
      <c r="A17" s="51" t="n"/>
      <c r="B17" s="52" t="n"/>
      <c r="C17" s="67" t="n"/>
      <c r="D17" s="53" t="n"/>
      <c r="E17" s="68" t="n"/>
      <c r="F17" s="69" t="n"/>
      <c r="G17" s="99" t="n"/>
      <c r="H17" s="16" t="n"/>
      <c r="I17" s="83" t="n"/>
      <c r="J17" s="51" t="n"/>
      <c r="K17" s="51" t="n"/>
      <c r="L17" s="53" t="n"/>
      <c r="M17" s="77" t="n"/>
      <c r="N17" s="51" t="n"/>
      <c r="O17" s="51" t="n"/>
      <c r="P17" s="53" t="n"/>
      <c r="Q17" s="53" t="n"/>
      <c r="R17" s="51" t="n"/>
      <c r="S17" s="51" t="n"/>
      <c r="T17" s="51" t="n"/>
      <c r="U17" s="53" t="n"/>
      <c r="V17" s="51" t="n"/>
      <c r="W17" s="51" t="n"/>
      <c r="X17" s="53" t="n"/>
      <c r="Y17" s="53" t="n"/>
      <c r="Z17" s="71" t="n"/>
      <c r="AA17" s="51" t="n"/>
      <c r="AB17" s="53" t="n"/>
      <c r="AC17" s="51" t="n"/>
      <c r="AD17" s="78" t="n"/>
      <c r="AE17" s="99" t="n"/>
      <c r="AF17" s="16" t="n"/>
      <c r="AG17" s="70" t="n"/>
      <c r="AH17" s="71" t="n"/>
      <c r="AI17" s="67" t="n"/>
      <c r="AJ17" s="53" t="n"/>
      <c r="AK17" s="54" t="n"/>
      <c r="AL17" s="51" t="n"/>
    </row>
    <row r="18" ht="17.45" customHeight="1" thickBot="1">
      <c r="A18" s="51" t="n"/>
      <c r="B18" s="52" t="n"/>
      <c r="C18" s="133" t="n">
        <v>46202.5</v>
      </c>
      <c r="D18" s="72" t="n">
        <v>75</v>
      </c>
      <c r="E18" s="73" t="n"/>
      <c r="F18" s="65" t="n"/>
      <c r="G18" s="100" t="n"/>
      <c r="H18" s="17" t="n"/>
      <c r="I18" s="63" t="n"/>
      <c r="J18" s="51" t="n"/>
      <c r="K18" s="51" t="n"/>
      <c r="L18" s="53" t="n"/>
      <c r="M18" s="77" t="n"/>
      <c r="N18" s="51" t="n"/>
      <c r="O18" s="113" t="inlineStr">
        <is>
          <t>Semifinal</t>
        </is>
      </c>
      <c r="P18" s="131" t="n"/>
      <c r="Q18" s="59" t="n"/>
      <c r="R18" s="51" t="n"/>
      <c r="S18" s="51" t="n"/>
      <c r="T18" s="51" t="n"/>
      <c r="U18" s="53" t="n"/>
      <c r="V18" s="51" t="n"/>
      <c r="W18" s="113" t="inlineStr">
        <is>
          <t>Semifinal</t>
        </is>
      </c>
      <c r="X18" s="131" t="n"/>
      <c r="Y18" s="51" t="n"/>
      <c r="Z18" s="71" t="n"/>
      <c r="AA18" s="51" t="n"/>
      <c r="AB18" s="53" t="n"/>
      <c r="AC18" s="51" t="n"/>
      <c r="AD18" s="51" t="n"/>
      <c r="AE18" s="100" t="n"/>
      <c r="AF18" s="17" t="n"/>
      <c r="AG18" s="51" t="n"/>
      <c r="AH18" s="71" t="n"/>
      <c r="AI18" s="133" t="n">
        <v>46204.5</v>
      </c>
      <c r="AJ18" s="72" t="n">
        <v>80</v>
      </c>
      <c r="AK18" s="54" t="n"/>
      <c r="AL18" s="51" t="n"/>
    </row>
    <row r="19" ht="17.45" customHeight="1" thickBot="1">
      <c r="A19" s="51" t="n"/>
      <c r="B19" s="52" t="n"/>
      <c r="C19" s="99" t="n"/>
      <c r="D19" s="16" t="n"/>
      <c r="E19" s="68" t="n"/>
      <c r="F19" s="75" t="n"/>
      <c r="G19" s="51" t="n"/>
      <c r="H19" s="53" t="n"/>
      <c r="I19" s="53" t="n"/>
      <c r="J19" s="51" t="n"/>
      <c r="K19" s="51" t="n"/>
      <c r="L19" s="53" t="n"/>
      <c r="M19" s="77" t="n"/>
      <c r="N19" s="51" t="n"/>
      <c r="O19" s="132" t="n">
        <v>46217.5</v>
      </c>
      <c r="P19" s="84" t="n">
        <v>101</v>
      </c>
      <c r="Q19" s="122" t="n"/>
      <c r="R19" s="51" t="n"/>
      <c r="S19" s="51" t="n"/>
      <c r="T19" s="51" t="n"/>
      <c r="U19" s="53" t="n"/>
      <c r="V19" s="51" t="n"/>
      <c r="W19" s="132" t="n">
        <v>46218.5</v>
      </c>
      <c r="X19" s="84" t="n">
        <v>102</v>
      </c>
      <c r="Y19" s="51" t="n"/>
      <c r="Z19" s="71" t="n"/>
      <c r="AA19" s="51" t="n"/>
      <c r="AB19" s="53" t="n"/>
      <c r="AC19" s="51" t="n"/>
      <c r="AD19" s="51" t="n"/>
      <c r="AE19" s="51" t="n"/>
      <c r="AF19" s="53" t="n"/>
      <c r="AG19" s="51" t="n"/>
      <c r="AH19" s="78" t="n"/>
      <c r="AI19" s="99" t="n"/>
      <c r="AJ19" s="16" t="n"/>
      <c r="AK19" s="54" t="n"/>
      <c r="AL19" s="51" t="n"/>
    </row>
    <row r="20" ht="17.45" customHeight="1" thickBot="1">
      <c r="A20" s="51" t="n"/>
      <c r="B20" s="52" t="n"/>
      <c r="C20" s="100" t="n"/>
      <c r="D20" s="17" t="n"/>
      <c r="E20" s="79" t="n"/>
      <c r="F20" s="51" t="n"/>
      <c r="G20" s="51" t="n"/>
      <c r="H20" s="53" t="n"/>
      <c r="I20" s="53" t="n"/>
      <c r="J20" s="51" t="n"/>
      <c r="K20" s="51" t="n"/>
      <c r="L20" s="53" t="n"/>
      <c r="M20" s="77" t="n"/>
      <c r="N20" s="80" t="n"/>
      <c r="O20" s="99" t="n"/>
      <c r="P20" s="16" t="n"/>
      <c r="Q20" s="63" t="n"/>
      <c r="R20" s="51" t="n"/>
      <c r="S20" s="113" t="inlineStr">
        <is>
          <t>Final</t>
        </is>
      </c>
      <c r="T20" s="131" t="n"/>
      <c r="U20" s="53" t="n"/>
      <c r="V20" s="51" t="n"/>
      <c r="W20" s="99" t="n"/>
      <c r="X20" s="16" t="n"/>
      <c r="Y20" s="81" t="n"/>
      <c r="Z20" s="71" t="n"/>
      <c r="AA20" s="51" t="n"/>
      <c r="AB20" s="53" t="n"/>
      <c r="AC20" s="51" t="n"/>
      <c r="AD20" s="51" t="n"/>
      <c r="AE20" s="51" t="n"/>
      <c r="AF20" s="53" t="n"/>
      <c r="AG20" s="51" t="n"/>
      <c r="AH20" s="51" t="n"/>
      <c r="AI20" s="100" t="n"/>
      <c r="AJ20" s="17" t="n"/>
      <c r="AK20" s="54" t="n"/>
      <c r="AL20" s="51" t="n"/>
    </row>
    <row r="21" ht="17.45" customHeight="1" thickBot="1">
      <c r="A21" s="51" t="n"/>
      <c r="B21" s="52" t="n"/>
      <c r="C21" s="67" t="n"/>
      <c r="D21" s="53" t="n"/>
      <c r="E21" s="53" t="n"/>
      <c r="F21" s="51" t="n"/>
      <c r="G21" s="51" t="n"/>
      <c r="H21" s="53" t="n"/>
      <c r="I21" s="53" t="n"/>
      <c r="J21" s="51" t="n"/>
      <c r="K21" s="51" t="n"/>
      <c r="L21" s="53" t="n"/>
      <c r="M21" s="77" t="n"/>
      <c r="N21" s="51" t="n"/>
      <c r="O21" s="100" t="n"/>
      <c r="P21" s="17" t="n"/>
      <c r="Q21" s="74" t="n"/>
      <c r="R21" s="51" t="n"/>
      <c r="S21" s="132" t="n">
        <v>46222.5</v>
      </c>
      <c r="T21" s="84" t="n">
        <v>104</v>
      </c>
      <c r="U21" s="60" t="n"/>
      <c r="V21" s="66" t="n"/>
      <c r="W21" s="100" t="n"/>
      <c r="X21" s="17" t="n"/>
      <c r="Y21" s="51" t="n"/>
      <c r="Z21" s="71" t="n"/>
      <c r="AA21" s="51" t="n"/>
      <c r="AB21" s="53" t="n"/>
      <c r="AC21" s="51" t="n"/>
      <c r="AD21" s="51" t="n"/>
      <c r="AE21" s="51" t="n"/>
      <c r="AF21" s="53" t="n"/>
      <c r="AG21" s="51" t="n"/>
      <c r="AH21" s="51" t="n"/>
      <c r="AI21" s="67" t="n"/>
      <c r="AJ21" s="53" t="n"/>
      <c r="AK21" s="54" t="n"/>
      <c r="AL21" s="51" t="n"/>
    </row>
    <row r="22" ht="17.45" customHeight="1" thickBot="1">
      <c r="A22" s="51" t="n"/>
      <c r="B22" s="52" t="n"/>
      <c r="C22" s="133" t="n">
        <v>46205.5</v>
      </c>
      <c r="D22" s="72" t="n">
        <v>83</v>
      </c>
      <c r="E22" s="122" t="n"/>
      <c r="F22" s="51" t="n"/>
      <c r="G22" s="51" t="n"/>
      <c r="H22" s="53" t="n"/>
      <c r="I22" s="53" t="n"/>
      <c r="J22" s="51" t="n"/>
      <c r="K22" s="51" t="n"/>
      <c r="L22" s="53" t="n"/>
      <c r="M22" s="77" t="n"/>
      <c r="N22" s="51" t="n"/>
      <c r="O22" s="51" t="n"/>
      <c r="P22" s="53" t="n"/>
      <c r="Q22" s="85" t="n"/>
      <c r="R22" s="63" t="n"/>
      <c r="S22" s="99" t="n"/>
      <c r="T22" s="16" t="n"/>
      <c r="U22" s="86" t="n"/>
      <c r="V22" s="87" t="n"/>
      <c r="W22" s="51" t="n"/>
      <c r="X22" s="53" t="n"/>
      <c r="Y22" s="53" t="n"/>
      <c r="Z22" s="71" t="n"/>
      <c r="AA22" s="51" t="n"/>
      <c r="AB22" s="53" t="n"/>
      <c r="AC22" s="51" t="n"/>
      <c r="AD22" s="51" t="n"/>
      <c r="AE22" s="51" t="n"/>
      <c r="AF22" s="53" t="n"/>
      <c r="AG22" s="51" t="n"/>
      <c r="AH22" s="51" t="n"/>
      <c r="AI22" s="133" t="n">
        <v>46206.5</v>
      </c>
      <c r="AJ22" s="72" t="n">
        <v>86</v>
      </c>
      <c r="AK22" s="54" t="n"/>
      <c r="AL22" s="51" t="n"/>
    </row>
    <row r="23" ht="17.45" customHeight="1" thickBot="1">
      <c r="A23" s="51" t="n"/>
      <c r="B23" s="52" t="n"/>
      <c r="C23" s="99" t="n"/>
      <c r="D23" s="16" t="n"/>
      <c r="E23" s="63" t="n"/>
      <c r="F23" s="51" t="n"/>
      <c r="G23" s="67" t="n"/>
      <c r="H23" s="53" t="n"/>
      <c r="I23" s="53" t="n"/>
      <c r="J23" s="51" t="n"/>
      <c r="K23" s="51" t="n"/>
      <c r="L23" s="53" t="n"/>
      <c r="M23" s="77" t="n"/>
      <c r="N23" s="51" t="n"/>
      <c r="O23" s="51" t="n"/>
      <c r="P23" s="53" t="n"/>
      <c r="Q23" s="88" t="n"/>
      <c r="R23" s="74" t="n"/>
      <c r="S23" s="100" t="n"/>
      <c r="T23" s="17" t="n"/>
      <c r="U23" s="53" t="n"/>
      <c r="V23" s="89" t="n"/>
      <c r="W23" s="51" t="n"/>
      <c r="X23" s="53" t="n"/>
      <c r="Y23" s="53" t="n"/>
      <c r="Z23" s="71" t="n"/>
      <c r="AA23" s="51" t="n"/>
      <c r="AB23" s="53" t="n"/>
      <c r="AC23" s="51" t="n"/>
      <c r="AD23" s="51" t="n"/>
      <c r="AE23" s="67" t="n"/>
      <c r="AF23" s="53" t="n"/>
      <c r="AG23" s="51" t="n"/>
      <c r="AH23" s="51" t="n"/>
      <c r="AI23" s="99" t="n"/>
      <c r="AJ23" s="16" t="n"/>
      <c r="AK23" s="54" t="n"/>
      <c r="AL23" s="51" t="n"/>
    </row>
    <row r="24" ht="17.45" customHeight="1" thickBot="1">
      <c r="A24" s="51" t="n"/>
      <c r="B24" s="52" t="n"/>
      <c r="C24" s="100" t="n"/>
      <c r="D24" s="17" t="n"/>
      <c r="E24" s="64" t="n"/>
      <c r="F24" s="65" t="n"/>
      <c r="G24" s="133" t="n">
        <v>46209.5</v>
      </c>
      <c r="H24" s="72" t="n">
        <v>93</v>
      </c>
      <c r="I24" s="122" t="n"/>
      <c r="J24" s="51" t="n"/>
      <c r="K24" s="51" t="n"/>
      <c r="L24" s="53" t="n"/>
      <c r="M24" s="77" t="n"/>
      <c r="N24" s="51" t="n"/>
      <c r="O24" s="51" t="n"/>
      <c r="P24" s="53" t="n"/>
      <c r="Q24" s="88" t="n"/>
      <c r="R24" s="51" t="n"/>
      <c r="S24" s="51" t="n"/>
      <c r="T24" s="51" t="n"/>
      <c r="U24" s="53" t="n"/>
      <c r="V24" s="90" t="n"/>
      <c r="W24" s="51" t="n"/>
      <c r="X24" s="53" t="n"/>
      <c r="Y24" s="53" t="n"/>
      <c r="Z24" s="71" t="n"/>
      <c r="AA24" s="51" t="n"/>
      <c r="AB24" s="53" t="n"/>
      <c r="AC24" s="51" t="n"/>
      <c r="AD24" s="51" t="n"/>
      <c r="AE24" s="133" t="n">
        <v>46210.5</v>
      </c>
      <c r="AF24" s="72" t="n">
        <v>95</v>
      </c>
      <c r="AG24" s="51" t="n"/>
      <c r="AH24" s="66" t="n"/>
      <c r="AI24" s="100" t="n"/>
      <c r="AJ24" s="17" t="n"/>
      <c r="AK24" s="54" t="n"/>
      <c r="AL24" s="51" t="n"/>
    </row>
    <row r="25" ht="17.45" customHeight="1" thickBot="1">
      <c r="A25" s="51" t="n"/>
      <c r="B25" s="52" t="n"/>
      <c r="C25" s="67" t="n"/>
      <c r="D25" s="53" t="n"/>
      <c r="E25" s="68" t="n"/>
      <c r="F25" s="69" t="n"/>
      <c r="G25" s="99" t="n"/>
      <c r="H25" s="16" t="n"/>
      <c r="I25" s="63" t="n"/>
      <c r="J25" s="51" t="n"/>
      <c r="K25" s="51" t="n"/>
      <c r="L25" s="53" t="n"/>
      <c r="M25" s="77" t="n"/>
      <c r="N25" s="51" t="n"/>
      <c r="O25" s="51" t="n"/>
      <c r="P25" s="53" t="n"/>
      <c r="Q25" s="88" t="n"/>
      <c r="R25" s="51" t="n"/>
      <c r="S25" s="122" t="n"/>
      <c r="U25" s="53" t="n"/>
      <c r="V25" s="90" t="n"/>
      <c r="W25" s="51" t="n"/>
      <c r="X25" s="53" t="n"/>
      <c r="Y25" s="53" t="n"/>
      <c r="Z25" s="71" t="n"/>
      <c r="AA25" s="51" t="n"/>
      <c r="AB25" s="53" t="n"/>
      <c r="AC25" s="51" t="n"/>
      <c r="AD25" s="51" t="n"/>
      <c r="AE25" s="99" t="n"/>
      <c r="AF25" s="16" t="n"/>
      <c r="AG25" s="70" t="n"/>
      <c r="AH25" s="71" t="n"/>
      <c r="AI25" s="67" t="n"/>
      <c r="AJ25" s="53" t="n"/>
      <c r="AK25" s="54" t="n"/>
      <c r="AL25" s="51" t="n"/>
    </row>
    <row r="26" ht="17.45" customHeight="1" thickBot="1">
      <c r="A26" s="51" t="n"/>
      <c r="B26" s="52" t="n"/>
      <c r="C26" s="133" t="n">
        <v>46205.5</v>
      </c>
      <c r="D26" s="72" t="n">
        <v>84</v>
      </c>
      <c r="E26" s="73" t="n"/>
      <c r="F26" s="65" t="n"/>
      <c r="G26" s="100" t="n"/>
      <c r="H26" s="17" t="n"/>
      <c r="I26" s="74" t="n"/>
      <c r="J26" s="51" t="n"/>
      <c r="K26" s="51" t="n"/>
      <c r="L26" s="53" t="n"/>
      <c r="M26" s="77" t="n"/>
      <c r="N26" s="51" t="n"/>
      <c r="O26" s="51" t="n"/>
      <c r="P26" s="53" t="n"/>
      <c r="Q26" s="88" t="n"/>
      <c r="R26" s="51" t="n"/>
      <c r="S26" s="113" t="inlineStr">
        <is>
          <t>3º e 4º lugar</t>
        </is>
      </c>
      <c r="T26" s="131" t="n"/>
      <c r="U26" s="53" t="n"/>
      <c r="V26" s="90" t="n"/>
      <c r="W26" s="51" t="n"/>
      <c r="X26" s="53" t="n"/>
      <c r="Y26" s="53" t="n"/>
      <c r="Z26" s="71" t="n"/>
      <c r="AA26" s="51" t="n"/>
      <c r="AB26" s="53" t="n"/>
      <c r="AC26" s="51" t="n"/>
      <c r="AD26" s="66" t="n"/>
      <c r="AE26" s="100" t="n"/>
      <c r="AF26" s="17" t="n"/>
      <c r="AG26" s="51" t="n"/>
      <c r="AH26" s="71" t="n"/>
      <c r="AI26" s="133" t="n">
        <v>46206.5</v>
      </c>
      <c r="AJ26" s="72" t="n">
        <v>88</v>
      </c>
      <c r="AK26" s="54" t="n"/>
      <c r="AL26" s="51" t="n"/>
    </row>
    <row r="27" ht="17.45" customHeight="1" thickBot="1">
      <c r="A27" s="51" t="n"/>
      <c r="B27" s="52" t="n"/>
      <c r="C27" s="99" t="n"/>
      <c r="D27" s="16" t="n"/>
      <c r="E27" s="68" t="n"/>
      <c r="F27" s="75" t="n"/>
      <c r="G27" s="51" t="n"/>
      <c r="H27" s="53" t="n"/>
      <c r="I27" s="77" t="n"/>
      <c r="J27" s="51" t="n"/>
      <c r="K27" s="67" t="n"/>
      <c r="L27" s="53" t="n"/>
      <c r="M27" s="77" t="n"/>
      <c r="N27" s="51" t="n"/>
      <c r="O27" s="51" t="n"/>
      <c r="P27" s="53" t="n"/>
      <c r="Q27" s="88" t="n"/>
      <c r="R27" s="51" t="n"/>
      <c r="S27" s="133" t="n">
        <v>46221.5</v>
      </c>
      <c r="T27" s="91" t="n">
        <v>103</v>
      </c>
      <c r="U27" s="60" t="n"/>
      <c r="V27" s="90" t="n"/>
      <c r="W27" s="51" t="n"/>
      <c r="X27" s="53" t="n"/>
      <c r="Y27" s="53" t="n"/>
      <c r="Z27" s="71" t="n"/>
      <c r="AA27" s="67" t="n"/>
      <c r="AB27" s="53" t="n"/>
      <c r="AC27" s="51" t="n"/>
      <c r="AD27" s="71" t="n"/>
      <c r="AE27" s="51" t="n"/>
      <c r="AF27" s="53" t="n"/>
      <c r="AG27" s="51" t="n"/>
      <c r="AH27" s="78" t="n"/>
      <c r="AI27" s="99" t="n"/>
      <c r="AJ27" s="16" t="n"/>
      <c r="AK27" s="54" t="n"/>
      <c r="AL27" s="51" t="n"/>
    </row>
    <row r="28" ht="17.45" customHeight="1" thickBot="1">
      <c r="A28" s="51" t="n"/>
      <c r="B28" s="52" t="n"/>
      <c r="C28" s="100" t="n"/>
      <c r="D28" s="17" t="n"/>
      <c r="E28" s="79" t="n"/>
      <c r="F28" s="51" t="n"/>
      <c r="G28" s="51" t="n"/>
      <c r="H28" s="53" t="n"/>
      <c r="I28" s="77" t="n"/>
      <c r="J28" s="51" t="n"/>
      <c r="K28" s="133" t="n">
        <v>46213.5</v>
      </c>
      <c r="L28" s="72" t="n">
        <v>98</v>
      </c>
      <c r="M28" s="82" t="n"/>
      <c r="N28" s="51" t="n"/>
      <c r="O28" s="51" t="n"/>
      <c r="P28" s="53" t="n"/>
      <c r="Q28" s="92" t="n"/>
      <c r="R28" s="93" t="n"/>
      <c r="S28" s="99" t="n"/>
      <c r="T28" s="16" t="n"/>
      <c r="U28" s="94" t="n"/>
      <c r="V28" s="95" t="n"/>
      <c r="W28" s="51" t="n"/>
      <c r="X28" s="53" t="n"/>
      <c r="Y28" s="53" t="n"/>
      <c r="Z28" s="71" t="n"/>
      <c r="AA28" s="133" t="n">
        <v>46215.5</v>
      </c>
      <c r="AB28" s="91" t="n">
        <v>100</v>
      </c>
      <c r="AC28" s="51" t="n"/>
      <c r="AD28" s="71" t="n"/>
      <c r="AE28" s="51" t="n"/>
      <c r="AF28" s="53" t="n"/>
      <c r="AG28" s="51" t="n"/>
      <c r="AH28" s="51" t="n"/>
      <c r="AI28" s="100" t="n"/>
      <c r="AJ28" s="17" t="n"/>
      <c r="AK28" s="54" t="n"/>
      <c r="AL28" s="51" t="n"/>
    </row>
    <row r="29" ht="17.45" customHeight="1" thickBot="1">
      <c r="A29" s="51" t="n"/>
      <c r="B29" s="52" t="n"/>
      <c r="C29" s="67" t="n"/>
      <c r="D29" s="53" t="n"/>
      <c r="E29" s="53" t="n"/>
      <c r="F29" s="51" t="n"/>
      <c r="G29" s="51" t="n"/>
      <c r="H29" s="53" t="n"/>
      <c r="I29" s="77" t="n"/>
      <c r="J29" s="80" t="n"/>
      <c r="K29" s="99" t="n"/>
      <c r="L29" s="16" t="n"/>
      <c r="M29" s="83" t="n"/>
      <c r="N29" s="51" t="n"/>
      <c r="O29" s="51" t="n"/>
      <c r="P29" s="53" t="n"/>
      <c r="Q29" s="53" t="n"/>
      <c r="R29" s="51" t="n"/>
      <c r="S29" s="100" t="n"/>
      <c r="T29" s="17" t="n"/>
      <c r="U29" s="60" t="n"/>
      <c r="V29" s="51" t="n"/>
      <c r="W29" s="51" t="n"/>
      <c r="X29" s="53" t="n"/>
      <c r="Y29" s="53" t="n"/>
      <c r="Z29" s="78" t="n"/>
      <c r="AA29" s="99" t="n"/>
      <c r="AB29" s="16" t="n"/>
      <c r="AC29" s="81" t="n"/>
      <c r="AD29" s="71" t="n"/>
      <c r="AE29" s="51" t="n"/>
      <c r="AF29" s="53" t="n"/>
      <c r="AG29" s="51" t="n"/>
      <c r="AH29" s="51" t="n"/>
      <c r="AI29" s="67" t="n"/>
      <c r="AJ29" s="53" t="n"/>
      <c r="AK29" s="54" t="n"/>
      <c r="AL29" s="51" t="n"/>
    </row>
    <row r="30" ht="17.45" customHeight="1" thickBot="1">
      <c r="A30" s="51" t="n"/>
      <c r="B30" s="52" t="n"/>
      <c r="C30" s="133" t="n">
        <v>46204.5</v>
      </c>
      <c r="D30" s="72" t="n">
        <v>81</v>
      </c>
      <c r="E30" s="122" t="n"/>
      <c r="F30" s="51" t="n"/>
      <c r="G30" s="51" t="n"/>
      <c r="H30" s="53" t="n"/>
      <c r="I30" s="77" t="n"/>
      <c r="J30" s="51" t="n"/>
      <c r="K30" s="100" t="n"/>
      <c r="L30" s="17" t="n"/>
      <c r="M30" s="63" t="n"/>
      <c r="N30" s="51" t="n"/>
      <c r="O30" s="51" t="n"/>
      <c r="P30" s="53" t="n"/>
      <c r="Q30" s="53" t="n"/>
      <c r="R30" s="51" t="n"/>
      <c r="S30" s="60" t="n"/>
      <c r="T30" s="60" t="n"/>
      <c r="U30" s="60" t="n"/>
      <c r="V30" s="51" t="n"/>
      <c r="W30" s="51" t="n"/>
      <c r="X30" s="53" t="n"/>
      <c r="Y30" s="53" t="n"/>
      <c r="Z30" s="51" t="n"/>
      <c r="AA30" s="100" t="n"/>
      <c r="AB30" s="17" t="n"/>
      <c r="AC30" s="51" t="n"/>
      <c r="AD30" s="71" t="n"/>
      <c r="AE30" s="51" t="n"/>
      <c r="AF30" s="53" t="n"/>
      <c r="AG30" s="51" t="n"/>
      <c r="AH30" s="51" t="n"/>
      <c r="AI30" s="133" t="n">
        <v>46205.5</v>
      </c>
      <c r="AJ30" s="72" t="n">
        <v>85</v>
      </c>
      <c r="AK30" s="54" t="n"/>
      <c r="AL30" s="51" t="n"/>
    </row>
    <row r="31" ht="17.45" customHeight="1" thickBot="1">
      <c r="A31" s="51" t="n"/>
      <c r="B31" s="52" t="n"/>
      <c r="C31" s="99" t="n"/>
      <c r="D31" s="16" t="n"/>
      <c r="E31" s="63" t="n"/>
      <c r="F31" s="51" t="n"/>
      <c r="G31" s="67" t="n"/>
      <c r="H31" s="53" t="n"/>
      <c r="I31" s="77" t="n"/>
      <c r="J31" s="51" t="n"/>
      <c r="K31" s="51" t="n"/>
      <c r="L31" s="53" t="n"/>
      <c r="M31" s="53" t="n"/>
      <c r="N31" s="51" t="n"/>
      <c r="O31" s="51" t="n"/>
      <c r="P31" s="53" t="n"/>
      <c r="Q31" s="53" t="n"/>
      <c r="R31" s="51" t="n"/>
      <c r="S31" s="113" t="inlineStr">
        <is>
          <t>Vencedor 3º Lugar</t>
        </is>
      </c>
      <c r="T31" s="131" t="n"/>
      <c r="U31" s="53" t="n"/>
      <c r="V31" s="51" t="n"/>
      <c r="W31" s="51" t="n"/>
      <c r="X31" s="53" t="n"/>
      <c r="Y31" s="53" t="n"/>
      <c r="Z31" s="51" t="n"/>
      <c r="AA31" s="51" t="n"/>
      <c r="AB31" s="53" t="n"/>
      <c r="AC31" s="51" t="n"/>
      <c r="AD31" s="71" t="n"/>
      <c r="AE31" s="67" t="n"/>
      <c r="AF31" s="53" t="n"/>
      <c r="AG31" s="51" t="n"/>
      <c r="AH31" s="51" t="n"/>
      <c r="AI31" s="99" t="n"/>
      <c r="AJ31" s="16" t="n"/>
      <c r="AK31" s="54" t="n"/>
      <c r="AL31" s="51" t="n"/>
    </row>
    <row r="32" ht="17.45" customHeight="1" thickBot="1">
      <c r="A32" s="51" t="n"/>
      <c r="B32" s="52" t="n"/>
      <c r="C32" s="100" t="n"/>
      <c r="D32" s="17" t="n"/>
      <c r="E32" s="64" t="n"/>
      <c r="F32" s="65" t="n"/>
      <c r="G32" s="133" t="n">
        <v>46209.5</v>
      </c>
      <c r="H32" s="72" t="n">
        <v>94</v>
      </c>
      <c r="I32" s="82" t="n"/>
      <c r="J32" s="51" t="n"/>
      <c r="K32" s="51" t="n"/>
      <c r="L32" s="53" t="n"/>
      <c r="M32" s="53" t="n"/>
      <c r="N32" s="51" t="n"/>
      <c r="O32" s="51" t="n"/>
      <c r="P32" s="53" t="n"/>
      <c r="Q32" s="53" t="n"/>
      <c r="R32" s="51" t="n"/>
      <c r="S32" s="115" t="n"/>
      <c r="T32" s="143" t="n"/>
      <c r="U32" s="53" t="n"/>
      <c r="V32" s="51" t="n"/>
      <c r="W32" s="51" t="n"/>
      <c r="X32" s="53" t="n"/>
      <c r="Y32" s="53" t="n"/>
      <c r="Z32" s="51" t="n"/>
      <c r="AA32" s="51" t="n"/>
      <c r="AB32" s="53" t="n"/>
      <c r="AC32" s="51" t="n"/>
      <c r="AD32" s="71" t="n"/>
      <c r="AE32" s="133" t="n">
        <v>46210.5</v>
      </c>
      <c r="AF32" s="72" t="n">
        <v>96</v>
      </c>
      <c r="AG32" s="51" t="n"/>
      <c r="AH32" s="66" t="n"/>
      <c r="AI32" s="100" t="n"/>
      <c r="AJ32" s="17" t="n"/>
      <c r="AK32" s="54" t="n"/>
      <c r="AL32" s="51" t="n"/>
    </row>
    <row r="33" ht="17.45" customHeight="1" thickBot="1">
      <c r="A33" s="51" t="n"/>
      <c r="B33" s="52" t="n"/>
      <c r="C33" s="67" t="n"/>
      <c r="D33" s="53" t="n"/>
      <c r="E33" s="68" t="n"/>
      <c r="F33" s="69" t="n"/>
      <c r="G33" s="99" t="n"/>
      <c r="H33" s="16" t="n"/>
      <c r="I33" s="83" t="n"/>
      <c r="J33" s="51" t="n"/>
      <c r="K33" s="51" t="n"/>
      <c r="L33" s="53" t="n"/>
      <c r="M33" s="53" t="n"/>
      <c r="N33" s="51" t="n"/>
      <c r="O33" s="51" t="n"/>
      <c r="P33" s="53" t="n"/>
      <c r="Q33" s="53" t="n"/>
      <c r="R33" s="51" t="n"/>
      <c r="S33" s="51" t="n"/>
      <c r="T33" s="51" t="n"/>
      <c r="U33" s="53" t="n"/>
      <c r="V33" s="51" t="n"/>
      <c r="W33" s="51" t="n"/>
      <c r="X33" s="53" t="n"/>
      <c r="Y33" s="53" t="n"/>
      <c r="Z33" s="51" t="n"/>
      <c r="AA33" s="51" t="n"/>
      <c r="AB33" s="53" t="n"/>
      <c r="AC33" s="51" t="n"/>
      <c r="AD33" s="78" t="n"/>
      <c r="AE33" s="99" t="n"/>
      <c r="AF33" s="16" t="n"/>
      <c r="AG33" s="70" t="n"/>
      <c r="AH33" s="71" t="n"/>
      <c r="AI33" s="67" t="n"/>
      <c r="AJ33" s="53" t="n"/>
      <c r="AK33" s="54" t="n"/>
      <c r="AL33" s="51" t="n"/>
    </row>
    <row r="34" ht="17.45" customHeight="1" thickBot="1">
      <c r="A34" s="51" t="n"/>
      <c r="B34" s="52" t="n"/>
      <c r="C34" s="133" t="n">
        <v>46204.5</v>
      </c>
      <c r="D34" s="72" t="n">
        <v>82</v>
      </c>
      <c r="E34" s="73" t="n"/>
      <c r="F34" s="65" t="n"/>
      <c r="G34" s="100" t="n"/>
      <c r="H34" s="17" t="n"/>
      <c r="I34" s="63" t="n"/>
      <c r="J34" s="51" t="n"/>
      <c r="K34" s="51" t="n"/>
      <c r="L34" s="53" t="n"/>
      <c r="M34" s="53" t="n"/>
      <c r="N34" s="51" t="n"/>
      <c r="O34" s="51" t="n"/>
      <c r="P34" s="53" t="n"/>
      <c r="Q34" s="53" t="n"/>
      <c r="R34" s="51" t="n"/>
      <c r="S34" s="51" t="n"/>
      <c r="T34" s="51" t="n"/>
      <c r="U34" s="53" t="n"/>
      <c r="V34" s="51" t="n"/>
      <c r="W34" s="51" t="n"/>
      <c r="X34" s="53" t="n"/>
      <c r="Y34" s="53" t="n"/>
      <c r="Z34" s="51" t="n"/>
      <c r="AA34" s="51" t="n"/>
      <c r="AB34" s="53" t="n"/>
      <c r="AC34" s="51" t="n"/>
      <c r="AD34" s="51" t="n"/>
      <c r="AE34" s="100" t="n"/>
      <c r="AF34" s="17" t="n"/>
      <c r="AG34" s="51" t="n"/>
      <c r="AH34" s="71" t="n"/>
      <c r="AI34" s="133" t="n">
        <v>46206.5</v>
      </c>
      <c r="AJ34" s="72" t="n">
        <v>87</v>
      </c>
      <c r="AK34" s="54" t="n"/>
      <c r="AL34" s="51" t="n"/>
    </row>
    <row r="35" ht="17.45" customHeight="1" thickBot="1">
      <c r="A35" s="51" t="n"/>
      <c r="B35" s="52" t="n"/>
      <c r="C35" s="99" t="n"/>
      <c r="D35" s="16" t="n"/>
      <c r="E35" s="68" t="n"/>
      <c r="F35" s="75" t="n"/>
      <c r="G35" s="51" t="n"/>
      <c r="H35" s="53" t="n"/>
      <c r="I35" s="53" t="n"/>
      <c r="J35" s="51" t="n"/>
      <c r="K35" s="51" t="n"/>
      <c r="L35" s="53" t="n"/>
      <c r="M35" s="53" t="n"/>
      <c r="N35" s="51" t="n"/>
      <c r="O35" s="51" t="n"/>
      <c r="P35" s="53" t="n"/>
      <c r="Q35" s="53" t="n"/>
      <c r="R35" s="51" t="n"/>
      <c r="S35" s="51" t="n"/>
      <c r="T35" s="51" t="n"/>
      <c r="U35" s="53" t="n"/>
      <c r="V35" s="51" t="n"/>
      <c r="W35" s="51" t="n"/>
      <c r="X35" s="53" t="n"/>
      <c r="Y35" s="53" t="n"/>
      <c r="Z35" s="51" t="n"/>
      <c r="AA35" s="51" t="n"/>
      <c r="AB35" s="53" t="n"/>
      <c r="AC35" s="51" t="n"/>
      <c r="AD35" s="51" t="n"/>
      <c r="AE35" s="51" t="n"/>
      <c r="AF35" s="53" t="n"/>
      <c r="AG35" s="51" t="n"/>
      <c r="AH35" s="78" t="n"/>
      <c r="AI35" s="99" t="n"/>
      <c r="AJ35" s="16" t="n"/>
      <c r="AK35" s="54" t="n"/>
      <c r="AL35" s="51" t="n"/>
    </row>
    <row r="36" ht="17.45" customHeight="1" thickBot="1">
      <c r="A36" s="51" t="n"/>
      <c r="B36" s="52" t="n"/>
      <c r="C36" s="100" t="n"/>
      <c r="D36" s="17" t="n"/>
      <c r="E36" s="79" t="n"/>
      <c r="F36" s="51" t="n"/>
      <c r="G36" s="51" t="n"/>
      <c r="H36" s="53" t="n"/>
      <c r="I36" s="53" t="n"/>
      <c r="J36" s="51" t="n"/>
      <c r="K36" s="51" t="n"/>
      <c r="L36" s="53" t="n"/>
      <c r="M36" s="53" t="n"/>
      <c r="N36" s="51" t="n"/>
      <c r="O36" s="51" t="n"/>
      <c r="P36" s="53" t="n"/>
      <c r="Q36" s="53" t="n"/>
      <c r="R36" s="51" t="n"/>
      <c r="S36" s="51" t="n"/>
      <c r="T36" s="51" t="n"/>
      <c r="U36" s="53" t="n"/>
      <c r="V36" s="51" t="n"/>
      <c r="W36" s="51" t="n"/>
      <c r="X36" s="53" t="n"/>
      <c r="Y36" s="53" t="n"/>
      <c r="Z36" s="51" t="n"/>
      <c r="AA36" s="51" t="n"/>
      <c r="AB36" s="53" t="n"/>
      <c r="AC36" s="51" t="n"/>
      <c r="AD36" s="51" t="n"/>
      <c r="AE36" s="51" t="n"/>
      <c r="AF36" s="53" t="n"/>
      <c r="AG36" s="51" t="n"/>
      <c r="AH36" s="51" t="n"/>
      <c r="AI36" s="100" t="n"/>
      <c r="AJ36" s="17" t="n"/>
      <c r="AK36" s="54" t="n"/>
      <c r="AL36" s="51" t="n"/>
    </row>
    <row r="37">
      <c r="A37" s="51" t="n"/>
      <c r="B37" s="52" t="n"/>
      <c r="C37" s="51" t="n"/>
      <c r="D37" s="53" t="n"/>
      <c r="E37" s="53" t="n"/>
      <c r="F37" s="51" t="n"/>
      <c r="G37" s="51" t="n"/>
      <c r="H37" s="53" t="n"/>
      <c r="I37" s="53" t="n"/>
      <c r="J37" s="51" t="n"/>
      <c r="K37" s="51" t="n"/>
      <c r="L37" s="53" t="n"/>
      <c r="M37" s="53" t="n"/>
      <c r="N37" s="51" t="n"/>
      <c r="O37" s="51" t="n"/>
      <c r="P37" s="53" t="n"/>
      <c r="Q37" s="53" t="n"/>
      <c r="R37" s="51" t="n"/>
      <c r="S37" s="51" t="n"/>
      <c r="T37" s="51" t="n"/>
      <c r="U37" s="53" t="n"/>
      <c r="V37" s="51" t="n"/>
      <c r="W37" s="51" t="n"/>
      <c r="X37" s="53" t="n"/>
      <c r="Y37" s="53" t="n"/>
      <c r="Z37" s="51" t="n"/>
      <c r="AA37" s="51" t="n"/>
      <c r="AB37" s="53" t="n"/>
      <c r="AC37" s="51" t="n"/>
      <c r="AD37" s="51" t="n"/>
      <c r="AE37" s="51" t="n"/>
      <c r="AF37" s="53" t="n"/>
      <c r="AG37" s="51" t="n"/>
      <c r="AH37" s="51" t="n"/>
      <c r="AI37" s="51" t="n"/>
      <c r="AJ37" s="53" t="n"/>
      <c r="AK37" s="54" t="n"/>
      <c r="AL37" s="51" t="n"/>
    </row>
  </sheetData>
  <sheetProtection selectLockedCells="1" selectUnlockedCells="0" algorithmName="SHA-512" sheet="1" objects="1" insertRows="1" insertHyperlinks="1" autoFilter="1" scenarios="1" formatColumns="0" deleteColumns="1" insertColumns="1" pivotTables="1" deleteRows="1" formatCells="1" saltValue="VpfTy4u+mEawZwjj71s27w==" formatRows="0" sort="1" spinCount="100000" hashValue="YpQPYfrW15dIaJ8Lu0lpNUfd3sL0Katc3PPR/QnZZJTm2gQk50WDaXFrBOGUFruziHdW6Ese1SYtWUbUd6/Bxw=="/>
  <mergeCells count="16">
    <mergeCell ref="K11:L11"/>
    <mergeCell ref="Q14:V14"/>
    <mergeCell ref="S25:T25"/>
    <mergeCell ref="AE7:AF7"/>
    <mergeCell ref="G7:H7"/>
    <mergeCell ref="Q15:V16"/>
    <mergeCell ref="S20:T20"/>
    <mergeCell ref="W18:X18"/>
    <mergeCell ref="C5:D5"/>
    <mergeCell ref="AA11:AB11"/>
    <mergeCell ref="O18:P18"/>
    <mergeCell ref="B2:AK2"/>
    <mergeCell ref="S32:T32"/>
    <mergeCell ref="S26:T26"/>
    <mergeCell ref="AI5:AJ5"/>
    <mergeCell ref="S31:T31"/>
  </mergeCells>
  <printOptions horizontalCentered="1" verticalCentered="1"/>
  <pageMargins left="0.1181102362204725" right="0.1181102362204725" top="0.1181102362204725" bottom="0.1181102362204725" header="0.3149606299212598" footer="0.3149606299212598"/>
  <pageSetup orientation="landscape" paperSize="9" scale="68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Santos</dc:creator>
  <dcterms:created xmlns:dcterms="http://purl.org/dc/terms/" xmlns:xsi="http://www.w3.org/2001/XMLSchema-instance" xsi:type="dcterms:W3CDTF">2026-01-20T14:05:24Z</dcterms:created>
  <dcterms:modified xmlns:dcterms="http://purl.org/dc/terms/" xmlns:xsi="http://www.w3.org/2001/XMLSchema-instance" xsi:type="dcterms:W3CDTF">2026-06-11T10:59:12Z</dcterms:modified>
  <cp:lastModifiedBy>Carlos Hisaba</cp:lastModifiedBy>
  <cp:lastPrinted>2026-01-26T14:49:29Z</cp:lastPrinted>
</cp:coreProperties>
</file>